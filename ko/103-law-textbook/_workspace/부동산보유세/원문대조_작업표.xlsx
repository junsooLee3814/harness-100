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작업표" sheetId="1" state="visible" r:id="rId1"/>
    <sheet xmlns:r="http://schemas.openxmlformats.org/officeDocument/2006/relationships" name="② 요약" sheetId="2" state="visible" r:id="rId2"/>
    <sheet xmlns:r="http://schemas.openxmlformats.org/officeDocument/2006/relationships" name="③ 확인 방법" sheetId="3" state="visible" r:id="rId3"/>
    <sheet xmlns:r="http://schemas.openxmlformats.org/officeDocument/2006/relationships" name="④ 확인 완료 이력" sheetId="4" state="visible" r:id="rId4"/>
  </sheets>
  <definedNames>
    <definedName name="_xlnm._FilterDatabase" localSheetId="0" hidden="1">'① 작업표'!$A$1:$N$139</definedName>
    <definedName name="_xlnm._FilterDatabase" localSheetId="2" hidden="1">'③ 확인 방법'!$A$1:$E$2</definedName>
    <definedName name="_xlnm._FilterDatabase" localSheetId="3" hidden="1">'④ 확인 완료 이력'!$A$1:$E$10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1F3864"/>
      <sz val="14"/>
    </font>
    <font>
      <color rgb="00808080"/>
      <sz val="9"/>
    </font>
    <font>
      <b val="1"/>
      <color rgb="001F3864"/>
      <sz val="10"/>
    </font>
    <font>
      <b val="1"/>
      <sz val="10"/>
    </font>
    <font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4E6"/>
      </patternFill>
    </fill>
    <fill>
      <patternFill patternType="solid">
        <fgColor rgb="00FFF6DD"/>
      </patternFill>
    </fill>
    <fill>
      <patternFill patternType="solid">
        <fgColor rgb="00FCE7E7"/>
      </patternFill>
    </fill>
    <fill>
      <patternFill patternType="solid">
        <fgColor rgb="00D9E2F3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164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164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  <xf numFmtId="164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6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7" fillId="0" borderId="0" pivotButton="0" quotePrefix="0" xfId="0"/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6" fillId="6" borderId="1" pivotButton="0" quotePrefix="0" xfId="0"/>
    <xf numFmtId="0" fontId="0" fillId="6" borderId="1" pivotButton="0" quotePrefix="0" xfId="0"/>
    <xf numFmtId="0" fontId="6" fillId="6" borderId="1" applyAlignment="1" pivotButton="0" quotePrefix="0" xfId="0">
      <alignment horizontal="center"/>
    </xf>
    <xf numFmtId="165" fontId="6" fillId="6" borderId="1" pivotButton="0" quotePrefix="0" xfId="0"/>
  </cellXfs>
  <cellStyles count="1">
    <cellStyle name="Normal" xfId="0" builtinId="0" hidden="0"/>
  </cellStyles>
  <dxfs count="2">
    <dxf>
      <font>
        <color rgb="005A7A55"/>
        <sz val="10"/>
      </font>
      <fill>
        <patternFill patternType="solid">
          <fgColor rgb="00D6ECD2"/>
        </patternFill>
      </fill>
    </dxf>
    <dxf>
      <font>
        <b val="1"/>
        <sz val="10"/>
      </font>
      <fill>
        <patternFill patternType="solid">
          <fgColor rgb="00FBD5B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6" customWidth="1" min="2" max="2"/>
    <col width="28" customWidth="1" min="3" max="3"/>
    <col width="11" customWidth="1" min="4" max="4"/>
    <col width="58" customWidth="1" min="5" max="5"/>
    <col width="30" customWidth="1" min="6" max="6"/>
    <col width="74" customWidth="1" min="7" max="7"/>
    <col width="24" customWidth="1" min="8" max="8"/>
    <col width="10" customWidth="1" min="9" max="9"/>
    <col width="34" customWidth="1" min="10" max="10"/>
    <col width="28" customWidth="1" min="11" max="11"/>
    <col width="9" customWidth="1" min="12" max="12"/>
    <col width="12" customWidth="1" min="13" max="13"/>
    <col width="40" customWidth="1" min="14" max="14"/>
    <col hidden="1" width="11" customWidth="1" min="15" max="15"/>
    <col hidden="1" width="11" customWidth="1" min="16" max="16"/>
  </cols>
  <sheetData>
    <row r="1" ht="30" customHeight="1">
      <c r="A1" s="1" t="inlineStr">
        <is>
          <t>연번</t>
        </is>
      </c>
      <c r="B1" s="1" t="inlineStr">
        <is>
          <t>장</t>
        </is>
      </c>
      <c r="C1" s="1" t="inlineStr">
        <is>
          <t>절·위치</t>
        </is>
      </c>
      <c r="D1" s="1" t="inlineStr">
        <is>
          <t>우선순위</t>
        </is>
      </c>
      <c r="E1" s="1" t="inlineStr">
        <is>
          <t>확인 항목 (마커 원문)</t>
        </is>
      </c>
      <c r="F1" s="1" t="inlineStr">
        <is>
          <t>확인해야 할 조문·출처</t>
        </is>
      </c>
      <c r="G1" s="1" t="inlineStr">
        <is>
          <t>확인 내용 (체크리스트)</t>
        </is>
      </c>
      <c r="H1" s="1" t="inlineStr">
        <is>
          <t>원고 위치</t>
        </is>
      </c>
      <c r="I1" s="1" t="inlineStr">
        <is>
          <t>상태</t>
        </is>
      </c>
      <c r="J1" s="1" t="inlineStr">
        <is>
          <t>확인 결과 기재란</t>
        </is>
      </c>
      <c r="K1" s="1" t="inlineStr">
        <is>
          <t>근거 URL·법령버전</t>
        </is>
      </c>
      <c r="L1" s="1" t="inlineStr">
        <is>
          <t>확인자</t>
        </is>
      </c>
      <c r="M1" s="1" t="inlineStr">
        <is>
          <t>확인일</t>
        </is>
      </c>
      <c r="N1" s="1" t="inlineStr">
        <is>
          <t>비고</t>
        </is>
      </c>
      <c r="O1" s="1" t="inlineStr">
        <is>
          <t>키</t>
        </is>
      </c>
      <c r="P1" s="1" t="inlineStr">
        <is>
          <t>자동판정</t>
        </is>
      </c>
    </row>
    <row r="2">
      <c r="A2" s="2" t="n">
        <v>1</v>
      </c>
      <c r="B2" s="2" t="n">
        <v>0</v>
      </c>
      <c r="C2" s="3" t="inlineStr">
        <is>
          <t>그 밖의 표기</t>
        </is>
      </c>
      <c r="D2" s="2" t="inlineStr">
        <is>
          <t>🟢 보완</t>
        </is>
      </c>
      <c r="E2" s="3" t="inlineStr">
        <is>
          <t>[검증필요 — 사유]</t>
        </is>
      </c>
      <c r="F2" s="3" t="inlineStr"/>
      <c r="G2" s="3" t="inlineStr">
        <is>
          <t>사유</t>
        </is>
      </c>
      <c r="H2" s="3" t="inlineStr">
        <is>
          <t>00_서문.md L49</t>
        </is>
      </c>
      <c r="I2" s="4" t="inlineStr">
        <is>
          <t>미확인</t>
        </is>
      </c>
      <c r="J2" s="3" t="inlineStr"/>
      <c r="K2" s="3" t="inlineStr"/>
      <c r="L2" s="2" t="inlineStr"/>
      <c r="M2" s="5" t="inlineStr"/>
      <c r="N2" s="3" t="inlineStr"/>
      <c r="O2" s="6" t="inlineStr">
        <is>
          <t>0|L0049|1</t>
        </is>
      </c>
      <c r="P2" s="6" t="inlineStr">
        <is>
          <t>미확인</t>
        </is>
      </c>
    </row>
    <row r="3">
      <c r="A3" s="7" t="n">
        <v>2</v>
      </c>
      <c r="B3" s="7" t="n">
        <v>0</v>
      </c>
      <c r="C3" s="8" t="inlineStr">
        <is>
          <t>그 밖의 표기</t>
        </is>
      </c>
      <c r="D3" s="7" t="inlineStr">
        <is>
          <t>🟡 중요</t>
        </is>
      </c>
      <c r="E3" s="8" t="inlineStr">
        <is>
          <t>[검증필요]</t>
        </is>
      </c>
      <c r="F3" s="8" t="inlineStr"/>
      <c r="G3" s="8" t="inlineStr">
        <is>
          <t>는 이 책의 약점이 아니라 신뢰의 근거다.** 확인하지 못한 것을 확인한 것처럼 쓰지 않고 그 자리에 표시해 둔다는 뜻이며, 독자에게는 그 항목만은 관할 관청이나 법령 원문으로 스스로 확인하라는 안내다.</t>
        </is>
      </c>
      <c r="H3" s="8" t="inlineStr">
        <is>
          <t>00_서문.md L52</t>
        </is>
      </c>
      <c r="I3" s="4" t="inlineStr">
        <is>
          <t>미확인</t>
        </is>
      </c>
      <c r="J3" s="8" t="inlineStr"/>
      <c r="K3" s="8" t="inlineStr"/>
      <c r="L3" s="7" t="inlineStr"/>
      <c r="M3" s="9" t="inlineStr"/>
      <c r="N3" s="8" t="inlineStr"/>
      <c r="O3" s="10" t="inlineStr">
        <is>
          <t>0|L0052|1</t>
        </is>
      </c>
      <c r="P3" s="10" t="inlineStr">
        <is>
          <t>미확인</t>
        </is>
      </c>
    </row>
    <row r="4">
      <c r="A4" s="2" t="n">
        <v>3</v>
      </c>
      <c r="B4" s="2" t="n">
        <v>1</v>
      </c>
      <c r="C4" s="3" t="inlineStr">
        <is>
          <t>1.1.3 연혁</t>
        </is>
      </c>
      <c r="D4" s="2" t="inlineStr">
        <is>
          <t>🟢 보완</t>
        </is>
      </c>
      <c r="E4" s="3" t="inlineStr">
        <is>
          <t>[검증필요]</t>
        </is>
      </c>
      <c r="F4" s="3" t="inlineStr"/>
      <c r="G4" s="3" t="inlineStr">
        <is>
          <t>. 2005년 개정으로 종합토지세가 폐지되고 토지분 재산세로 통합되었다 `</t>
        </is>
      </c>
      <c r="H4" s="3" t="inlineStr">
        <is>
          <t>01_보유세_전체그림.md L25</t>
        </is>
      </c>
      <c r="I4" s="4" t="inlineStr">
        <is>
          <t>미확인</t>
        </is>
      </c>
      <c r="J4" s="3" t="inlineStr"/>
      <c r="K4" s="3" t="inlineStr"/>
      <c r="L4" s="2" t="inlineStr"/>
      <c r="M4" s="5" t="inlineStr"/>
      <c r="N4" s="3" t="inlineStr"/>
      <c r="O4" s="6" t="inlineStr">
        <is>
          <t>1|L0025|1</t>
        </is>
      </c>
      <c r="P4" s="6" t="inlineStr">
        <is>
          <t>미확인</t>
        </is>
      </c>
    </row>
    <row r="5">
      <c r="A5" s="7" t="n">
        <v>4</v>
      </c>
      <c r="B5" s="7" t="n">
        <v>1</v>
      </c>
      <c r="C5" s="8" t="inlineStr">
        <is>
          <t>1.1.3 연혁</t>
        </is>
      </c>
      <c r="D5" s="7" t="inlineStr">
        <is>
          <t>🟡 중요</t>
        </is>
      </c>
      <c r="E5" s="8" t="inlineStr">
        <is>
          <t>[검증필요 — 개정 법률 호수·시행일]</t>
        </is>
      </c>
      <c r="F5" s="8" t="inlineStr"/>
      <c r="G5" s="8" t="inlineStr">
        <is>
          <t>개정 법률 호수·시행일</t>
        </is>
      </c>
      <c r="H5" s="8" t="inlineStr">
        <is>
          <t>01_보유세_전체그림.md L25</t>
        </is>
      </c>
      <c r="I5" s="4" t="inlineStr">
        <is>
          <t>미확인</t>
        </is>
      </c>
      <c r="J5" s="8" t="inlineStr"/>
      <c r="K5" s="8" t="inlineStr"/>
      <c r="L5" s="7" t="inlineStr"/>
      <c r="M5" s="9" t="inlineStr"/>
      <c r="N5" s="8" t="inlineStr"/>
      <c r="O5" s="10" t="inlineStr">
        <is>
          <t>1|L0025|2</t>
        </is>
      </c>
      <c r="P5" s="10" t="inlineStr">
        <is>
          <t>미확인</t>
        </is>
      </c>
    </row>
    <row r="6">
      <c r="A6" s="2" t="n">
        <v>5</v>
      </c>
      <c r="B6" s="2" t="n">
        <v>1</v>
      </c>
      <c r="C6" s="3" t="inlineStr">
        <is>
          <t>1.3.1 과세기준일 6월 1일</t>
        </is>
      </c>
      <c r="D6" s="2" t="inlineStr">
        <is>
          <t>🟢 보완</t>
        </is>
      </c>
      <c r="E6" s="3" t="inlineStr">
        <is>
          <t>[검증필요 — 입법 취지]</t>
        </is>
      </c>
      <c r="F6" s="3" t="inlineStr"/>
      <c r="G6" s="3" t="inlineStr">
        <is>
          <t>입법 취지</t>
        </is>
      </c>
      <c r="H6" s="3" t="inlineStr">
        <is>
          <t>01_보유세_전체그림.md L73</t>
        </is>
      </c>
      <c r="I6" s="4" t="inlineStr">
        <is>
          <t>미확인</t>
        </is>
      </c>
      <c r="J6" s="3" t="inlineStr"/>
      <c r="K6" s="3" t="inlineStr"/>
      <c r="L6" s="2" t="inlineStr"/>
      <c r="M6" s="5" t="inlineStr"/>
      <c r="N6" s="3" t="inlineStr"/>
      <c r="O6" s="6" t="inlineStr">
        <is>
          <t>1|L0073|1</t>
        </is>
      </c>
      <c r="P6" s="6" t="inlineStr">
        <is>
          <t>미확인</t>
        </is>
      </c>
    </row>
    <row r="7">
      <c r="A7" s="11" t="n">
        <v>6</v>
      </c>
      <c r="B7" s="11" t="n">
        <v>1</v>
      </c>
      <c r="C7" s="12" t="inlineStr">
        <is>
          <t>1.5 자주 묻는 질문</t>
        </is>
      </c>
      <c r="D7" s="11" t="inlineStr">
        <is>
          <t>🔴 최우선</t>
        </is>
      </c>
      <c r="E7" s="12" t="inlineStr">
        <is>
          <t>[검증필요 — 보통징수 재산세에 대한 경정청구 가부]</t>
        </is>
      </c>
      <c r="F7" s="12" t="inlineStr"/>
      <c r="G7" s="12" t="inlineStr">
        <is>
          <t>보통징수 재산세에 대한 경정청구 가부</t>
        </is>
      </c>
      <c r="H7" s="12" t="inlineStr">
        <is>
          <t>01_보유세_전체그림.md L204</t>
        </is>
      </c>
      <c r="I7" s="4" t="inlineStr">
        <is>
          <t>미확인</t>
        </is>
      </c>
      <c r="J7" s="12" t="inlineStr"/>
      <c r="K7" s="12" t="inlineStr"/>
      <c r="L7" s="11" t="inlineStr"/>
      <c r="M7" s="13" t="inlineStr"/>
      <c r="N7" s="12" t="inlineStr"/>
      <c r="O7" s="14" t="inlineStr">
        <is>
          <t>1|L0204|1</t>
        </is>
      </c>
      <c r="P7" s="14" t="inlineStr">
        <is>
          <t>미확인</t>
        </is>
      </c>
    </row>
    <row r="8">
      <c r="A8" s="2" t="n">
        <v>7</v>
      </c>
      <c r="B8" s="2" t="n">
        <v>2</v>
      </c>
      <c r="C8" s="3" t="inlineStr">
        <is>
          <t>(5) 주택과 부속토지</t>
        </is>
      </c>
      <c r="D8" s="2" t="inlineStr">
        <is>
          <t>🟢 보완</t>
        </is>
      </c>
      <c r="E8" s="3" t="inlineStr">
        <is>
          <t>[검증필요]</t>
        </is>
      </c>
      <c r="F8" s="3" t="inlineStr"/>
      <c r="G8" s="3" t="inlineStr">
        <is>
          <t>판결문 원문 미대조). 주택 수 산정은 (→ 제9장)에서 다룬다.</t>
        </is>
      </c>
      <c r="H8" s="3" t="inlineStr">
        <is>
          <t>02_재산세_과세대상.md L75</t>
        </is>
      </c>
      <c r="I8" s="4" t="inlineStr">
        <is>
          <t>미확인</t>
        </is>
      </c>
      <c r="J8" s="3" t="inlineStr"/>
      <c r="K8" s="3" t="inlineStr"/>
      <c r="L8" s="2" t="inlineStr"/>
      <c r="M8" s="5" t="inlineStr"/>
      <c r="N8" s="3" t="inlineStr"/>
      <c r="O8" s="6" t="inlineStr">
        <is>
          <t>2|L0075|1</t>
        </is>
      </c>
      <c r="P8" s="6" t="inlineStr">
        <is>
          <t>미확인</t>
        </is>
      </c>
    </row>
    <row r="9">
      <c r="A9" s="7" t="n">
        <v>8</v>
      </c>
      <c r="B9" s="7" t="n">
        <v>2</v>
      </c>
      <c r="C9" s="8" t="inlineStr">
        <is>
          <t>(6) 겸용주택</t>
        </is>
      </c>
      <c r="D9" s="7" t="inlineStr">
        <is>
          <t>🟡 중요</t>
        </is>
      </c>
      <c r="E9" s="8" t="inlineStr">
        <is>
          <t>[검증필요]</t>
        </is>
      </c>
      <c r="F9" s="8" t="inlineStr"/>
      <c r="G9" s="8" t="inlineStr">
        <is>
          <t>제2호의2와 제106조 제3항의 신설 연월일은 확인되지 않았다.</t>
        </is>
      </c>
      <c r="H9" s="8" t="inlineStr">
        <is>
          <t>02_재산세_과세대상.md L99</t>
        </is>
      </c>
      <c r="I9" s="4" t="inlineStr">
        <is>
          <t>미확인</t>
        </is>
      </c>
      <c r="J9" s="8" t="inlineStr"/>
      <c r="K9" s="8" t="inlineStr"/>
      <c r="L9" s="7" t="inlineStr"/>
      <c r="M9" s="9" t="inlineStr"/>
      <c r="N9" s="8" t="inlineStr"/>
      <c r="O9" s="10" t="inlineStr">
        <is>
          <t>2|L0099|1</t>
        </is>
      </c>
      <c r="P9" s="10" t="inlineStr">
        <is>
          <t>미확인</t>
        </is>
      </c>
    </row>
    <row r="10">
      <c r="A10" s="2" t="n">
        <v>9</v>
      </c>
      <c r="B10" s="2" t="n">
        <v>2</v>
      </c>
      <c r="C10" s="3" t="inlineStr">
        <is>
          <t>(1) 리딩 판례</t>
        </is>
      </c>
      <c r="D10" s="2" t="inlineStr">
        <is>
          <t>🟢 보완</t>
        </is>
      </c>
      <c r="E10" s="3" t="inlineStr">
        <is>
          <t>[검증필요]</t>
        </is>
      </c>
      <c r="F10" s="3" t="inlineStr"/>
      <c r="G10" s="3" t="inlineStr">
        <is>
          <t>판결문 원문 미취득). ### (2) 사례 2-1: 1층은 가게, 3층은 살림집 — 겸용주택의 세 갈래 과세 가상의 사례이며, 실제 사안은 전문가 확인이 필요하다.</t>
        </is>
      </c>
      <c r="H10" s="3" t="inlineStr">
        <is>
          <t>02_재산세_과세대상.md L154</t>
        </is>
      </c>
      <c r="I10" s="4" t="inlineStr">
        <is>
          <t>미확인</t>
        </is>
      </c>
      <c r="J10" s="3" t="inlineStr"/>
      <c r="K10" s="3" t="inlineStr"/>
      <c r="L10" s="2" t="inlineStr"/>
      <c r="M10" s="5" t="inlineStr"/>
      <c r="N10" s="3" t="inlineStr"/>
      <c r="O10" s="6" t="inlineStr">
        <is>
          <t>2|L0154|1</t>
        </is>
      </c>
      <c r="P10" s="6" t="inlineStr">
        <is>
          <t>미확인</t>
        </is>
      </c>
    </row>
    <row r="11">
      <c r="A11" s="11" t="n">
        <v>10</v>
      </c>
      <c r="B11" s="11" t="n">
        <v>2</v>
      </c>
      <c r="C11" s="12" t="inlineStr">
        <is>
          <t>(3) 사례 2-2: 건물을 철거하자 세부담이 증가한다</t>
        </is>
      </c>
      <c r="D11" s="11" t="inlineStr">
        <is>
          <t>🔴 최우선</t>
        </is>
      </c>
      <c r="E11" s="12" t="inlineStr">
        <is>
          <t>[검증필요]</t>
        </is>
      </c>
      <c r="F11" s="12" t="inlineStr"/>
      <c r="G11" s="12" t="inlineStr">
        <is>
          <t>기준일·항 번호 미대조). ③ 제113조 제1항 단서(재산세 경감분의 과세표준 공제)를 매개로 그 부분이 분리과세 대상인지를 둘러싼 분쟁이 2021년 이후 계속되며 하급심 결론이 갈린다.</t>
        </is>
      </c>
      <c r="H11" s="12" t="inlineStr">
        <is>
          <t>02_재산세_과세대상.md L229</t>
        </is>
      </c>
      <c r="I11" s="4" t="inlineStr">
        <is>
          <t>미확인</t>
        </is>
      </c>
      <c r="J11" s="12" t="inlineStr"/>
      <c r="K11" s="12" t="inlineStr"/>
      <c r="L11" s="11" t="inlineStr"/>
      <c r="M11" s="13" t="inlineStr"/>
      <c r="N11" s="12" t="inlineStr"/>
      <c r="O11" s="14" t="inlineStr">
        <is>
          <t>2|L0229|1</t>
        </is>
      </c>
      <c r="P11" s="14" t="inlineStr">
        <is>
          <t>미확인</t>
        </is>
      </c>
    </row>
    <row r="12">
      <c r="A12" s="2" t="n">
        <v>11</v>
      </c>
      <c r="B12" s="2" t="n">
        <v>2</v>
      </c>
      <c r="C12" s="3" t="inlineStr">
        <is>
          <t>(3) 사례 2-2: 건물을 철거하자 세부담이 증가한다</t>
        </is>
      </c>
      <c r="D12" s="2" t="inlineStr">
        <is>
          <t>🟢 보완</t>
        </is>
      </c>
      <c r="E12" s="3" t="inlineStr">
        <is>
          <t>[검증필요]</t>
        </is>
      </c>
      <c r="F12" s="3" t="inlineStr"/>
      <c r="G12" s="3" t="inlineStr">
        <is>
          <t>이 판례군은 원문 미확보로 사건번호를 표기하지 않았다.</t>
        </is>
      </c>
      <c r="H12" s="3" t="inlineStr">
        <is>
          <t>02_재산세_과세대상.md L231</t>
        </is>
      </c>
      <c r="I12" s="4" t="inlineStr">
        <is>
          <t>미확인</t>
        </is>
      </c>
      <c r="J12" s="3" t="inlineStr"/>
      <c r="K12" s="3" t="inlineStr"/>
      <c r="L12" s="2" t="inlineStr"/>
      <c r="M12" s="5" t="inlineStr"/>
      <c r="N12" s="3" t="inlineStr"/>
      <c r="O12" s="6" t="inlineStr">
        <is>
          <t>2|L0231|1</t>
        </is>
      </c>
      <c r="P12" s="6" t="inlineStr">
        <is>
          <t>미확인</t>
        </is>
      </c>
    </row>
    <row r="13">
      <c r="A13" s="7" t="n">
        <v>12</v>
      </c>
      <c r="B13" s="7" t="n">
        <v>3</v>
      </c>
      <c r="C13" s="8" t="inlineStr">
        <is>
          <t>3.2.2 6월 1일 판정</t>
        </is>
      </c>
      <c r="D13" s="7" t="inlineStr">
        <is>
          <t>🟡 중요</t>
        </is>
      </c>
      <c r="E13" s="8" t="inlineStr">
        <is>
          <t>[검증필요]</t>
        </is>
      </c>
      <c r="F13" s="8" t="inlineStr">
        <is>
          <t>시행령 제20조 제2항</t>
        </is>
      </c>
      <c r="G13" s="8" t="inlineStr">
        <is>
          <t>계약상 잔금지급일과 사실상 잔금지급일이 다를 때 사실상 잔금지급일을 기준으로 판단한 조세심판원 결정례가 있다고 알려져 있으나 결정번호와 결정일자를 확인하지 못했다. 결론은 시행령 제20조 제2항만으로 완결된다.</t>
        </is>
      </c>
      <c r="H13" s="8" t="inlineStr">
        <is>
          <t>03_재산세_납세의무자.md L48</t>
        </is>
      </c>
      <c r="I13" s="4" t="inlineStr">
        <is>
          <t>미확인</t>
        </is>
      </c>
      <c r="J13" s="8" t="inlineStr"/>
      <c r="K13" s="8" t="inlineStr"/>
      <c r="L13" s="7" t="inlineStr"/>
      <c r="M13" s="9" t="inlineStr"/>
      <c r="N13" s="8" t="inlineStr"/>
      <c r="O13" s="10" t="inlineStr">
        <is>
          <t>3|L0048|1</t>
        </is>
      </c>
      <c r="P13" s="10" t="inlineStr">
        <is>
          <t>미확인</t>
        </is>
      </c>
    </row>
    <row r="14">
      <c r="A14" s="2" t="n">
        <v>13</v>
      </c>
      <c r="B14" s="2" t="n">
        <v>3</v>
      </c>
      <c r="C14" s="3" t="inlineStr">
        <is>
          <t>3.2.3 신탁재산</t>
        </is>
      </c>
      <c r="D14" s="2" t="inlineStr">
        <is>
          <t>🟢 보완</t>
        </is>
      </c>
      <c r="E14" s="3" t="inlineStr">
        <is>
          <t>[검증필요]</t>
        </is>
      </c>
      <c r="F14" s="3" t="inlineStr"/>
      <c r="G14" s="3" t="inlineStr">
        <is>
          <t>)</t>
        </is>
      </c>
      <c r="H14" s="3" t="inlineStr">
        <is>
          <t>03_재산세_납세의무자.md L56</t>
        </is>
      </c>
      <c r="I14" s="4" t="inlineStr">
        <is>
          <t>미확인</t>
        </is>
      </c>
      <c r="J14" s="3" t="inlineStr"/>
      <c r="K14" s="3" t="inlineStr"/>
      <c r="L14" s="2" t="inlineStr"/>
      <c r="M14" s="5" t="inlineStr"/>
      <c r="N14" s="3" t="inlineStr"/>
      <c r="O14" s="6" t="inlineStr">
        <is>
          <t>3|L0056|1</t>
        </is>
      </c>
      <c r="P14" s="6" t="inlineStr">
        <is>
          <t>미확인</t>
        </is>
      </c>
    </row>
    <row r="15">
      <c r="A15" s="2" t="n">
        <v>14</v>
      </c>
      <c r="B15" s="2" t="n">
        <v>3</v>
      </c>
      <c r="C15" s="3" t="inlineStr">
        <is>
          <t>3.2.3 신탁재산</t>
        </is>
      </c>
      <c r="D15" s="2" t="inlineStr">
        <is>
          <t>🟢 보완</t>
        </is>
      </c>
      <c r="E15" s="3" t="inlineStr">
        <is>
          <t>[검증필요 — 판결문 본문 미취득]</t>
        </is>
      </c>
      <c r="F15" s="3" t="inlineStr"/>
      <c r="G15" s="3" t="inlineStr">
        <is>
          <t>판결문 본문 미취득</t>
        </is>
      </c>
      <c r="H15" s="3" t="inlineStr">
        <is>
          <t>03_재산세_납세의무자.md L62</t>
        </is>
      </c>
      <c r="I15" s="4" t="inlineStr">
        <is>
          <t>미확인</t>
        </is>
      </c>
      <c r="J15" s="3" t="inlineStr"/>
      <c r="K15" s="3" t="inlineStr"/>
      <c r="L15" s="2" t="inlineStr"/>
      <c r="M15" s="5" t="inlineStr"/>
      <c r="N15" s="3" t="inlineStr"/>
      <c r="O15" s="6" t="inlineStr">
        <is>
          <t>3|L0062|1</t>
        </is>
      </c>
      <c r="P15" s="6" t="inlineStr">
        <is>
          <t>미확인</t>
        </is>
      </c>
    </row>
    <row r="16">
      <c r="A16" s="2" t="n">
        <v>15</v>
      </c>
      <c r="B16" s="2" t="n">
        <v>3</v>
      </c>
      <c r="C16" s="3" t="inlineStr">
        <is>
          <t>3.4.3 판례</t>
        </is>
      </c>
      <c r="D16" s="2" t="inlineStr">
        <is>
          <t>🟢 보완</t>
        </is>
      </c>
      <c r="E16" s="3" t="inlineStr">
        <is>
          <t>[검증필요]</t>
        </is>
      </c>
      <c r="F16" s="3" t="inlineStr">
        <is>
          <t>대법원 2024. 3. 28. · 2024두30281</t>
        </is>
      </c>
      <c r="G16" s="3" t="inlineStr">
        <is>
          <t>과세기준일 이후 상속재산분할심판이 확정된 경우 그 소급효가 지나간 과세기준일의 판정을 바꿀 수 있는지가 다투어진 사건이 있다(대법원 2024. 3. 28. 선고 2024두30281 판결). 다만 심리불속행 기각이어서 실체 판단 이유가 판결문에 나타나지 않으며 원심 판결문도 확보하지 못했다.</t>
        </is>
      </c>
      <c r="H16" s="3" t="inlineStr">
        <is>
          <t>03_재산세_납세의무자.md L147</t>
        </is>
      </c>
      <c r="I16" s="4" t="inlineStr">
        <is>
          <t>미확인</t>
        </is>
      </c>
      <c r="J16" s="3" t="inlineStr"/>
      <c r="K16" s="3" t="inlineStr"/>
      <c r="L16" s="2" t="inlineStr"/>
      <c r="M16" s="5" t="inlineStr"/>
      <c r="N16" s="3" t="inlineStr"/>
      <c r="O16" s="6" t="inlineStr">
        <is>
          <t>3|L0147|1</t>
        </is>
      </c>
      <c r="P16" s="6" t="inlineStr">
        <is>
          <t>미확인</t>
        </is>
      </c>
    </row>
    <row r="17">
      <c r="A17" s="11" t="n">
        <v>16</v>
      </c>
      <c r="B17" s="11" t="n">
        <v>4</v>
      </c>
      <c r="C17" s="12" t="inlineStr">
        <is>
          <t>4.2.2 건축물에는 공시가격이 없다</t>
        </is>
      </c>
      <c r="D17" s="11" t="inlineStr">
        <is>
          <t>🔴 최우선</t>
        </is>
      </c>
      <c r="E17" s="12" t="inlineStr">
        <is>
          <t>[검증필요]</t>
        </is>
      </c>
      <c r="F17" s="12" t="inlineStr"/>
      <c r="G17" s="12" t="inlineStr">
        <is>
          <t>기준가격·경과연수별 잔가율 등 세부 산정 기준은 행정안전부 기준의 영역이라 수치는 다루지 않는다.</t>
        </is>
      </c>
      <c r="H17" s="12" t="inlineStr">
        <is>
          <t>04_재산세_과세표준.md L67</t>
        </is>
      </c>
      <c r="I17" s="4" t="inlineStr">
        <is>
          <t>미확인</t>
        </is>
      </c>
      <c r="J17" s="12" t="inlineStr"/>
      <c r="K17" s="12" t="inlineStr"/>
      <c r="L17" s="11" t="inlineStr"/>
      <c r="M17" s="13" t="inlineStr"/>
      <c r="N17" s="12" t="inlineStr"/>
      <c r="O17" s="14" t="inlineStr">
        <is>
          <t>4|L0067|1</t>
        </is>
      </c>
      <c r="P17" s="14" t="inlineStr">
        <is>
          <t>미확인</t>
        </is>
      </c>
    </row>
    <row r="18">
      <c r="A18" s="2" t="n">
        <v>17</v>
      </c>
      <c r="B18" s="2" t="n">
        <v>4</v>
      </c>
      <c r="C18" s="3" t="inlineStr">
        <is>
          <t>4.2.2 건축물에는 공시가격이 없다</t>
        </is>
      </c>
      <c r="D18" s="2" t="inlineStr">
        <is>
          <t>🟢 보완</t>
        </is>
      </c>
      <c r="E18" s="3" t="inlineStr">
        <is>
          <t>[검증필요]</t>
        </is>
      </c>
      <c r="F18" s="3" t="inlineStr"/>
      <c r="G18" s="3" t="inlineStr">
        <is>
          <t>(사유 미기재 — 원고 확인 필요)</t>
        </is>
      </c>
      <c r="H18" s="3" t="inlineStr">
        <is>
          <t>04_재산세_과세표준.md L68</t>
        </is>
      </c>
      <c r="I18" s="4" t="inlineStr">
        <is>
          <t>미확인</t>
        </is>
      </c>
      <c r="J18" s="3" t="inlineStr"/>
      <c r="K18" s="3" t="inlineStr"/>
      <c r="L18" s="2" t="inlineStr"/>
      <c r="M18" s="5" t="inlineStr"/>
      <c r="N18" s="3" t="inlineStr"/>
      <c r="O18" s="6" t="inlineStr">
        <is>
          <t>4|L0068|1</t>
        </is>
      </c>
      <c r="P18" s="6" t="inlineStr">
        <is>
          <t>미확인</t>
        </is>
      </c>
    </row>
    <row r="19">
      <c r="A19" s="2" t="n">
        <v>18</v>
      </c>
      <c r="B19" s="2" t="n">
        <v>4</v>
      </c>
      <c r="C19" s="3" t="inlineStr">
        <is>
          <t>4.3.1 절차 총괄표</t>
        </is>
      </c>
      <c r="D19" s="2" t="inlineStr">
        <is>
          <t>🟢 보완</t>
        </is>
      </c>
      <c r="E19" s="3" t="inlineStr">
        <is>
          <t>[검증필요]</t>
        </is>
      </c>
      <c r="F19" s="3" t="inlineStr"/>
      <c r="G19" s="3" t="inlineStr">
        <is>
          <t>(사유 미기재 — 원고 확인 필요)</t>
        </is>
      </c>
      <c r="H19" s="3" t="inlineStr">
        <is>
          <t>04_재산세_과세표준.md L152</t>
        </is>
      </c>
      <c r="I19" s="4" t="inlineStr">
        <is>
          <t>미확인</t>
        </is>
      </c>
      <c r="J19" s="3" t="inlineStr"/>
      <c r="K19" s="3" t="inlineStr"/>
      <c r="L19" s="2" t="inlineStr"/>
      <c r="M19" s="5" t="inlineStr"/>
      <c r="N19" s="3" t="inlineStr"/>
      <c r="O19" s="6" t="inlineStr">
        <is>
          <t>4|L0152|1</t>
        </is>
      </c>
      <c r="P19" s="6" t="inlineStr">
        <is>
          <t>미확인</t>
        </is>
      </c>
    </row>
    <row r="20">
      <c r="A20" s="7" t="n">
        <v>19</v>
      </c>
      <c r="B20" s="7" t="n">
        <v>4</v>
      </c>
      <c r="C20" s="8" t="inlineStr">
        <is>
          <t>4.3.2 공시기준일이 달라지는 경우</t>
        </is>
      </c>
      <c r="D20" s="7" t="inlineStr">
        <is>
          <t>🟡 중요</t>
        </is>
      </c>
      <c r="E20" s="8" t="inlineStr">
        <is>
          <t>[검증필요]</t>
        </is>
      </c>
      <c r="F20" s="8" t="inlineStr"/>
      <c r="G20" s="8" t="inlineStr">
        <is>
          <t>"1~6월 중 지목변경된 토지의 새 개별공시지가는 그 해 6월 1일 과세에 반영되지 않는다"는 결론이 도출되는 듯하나 조문의 추론일 뿐 판례·예규로 확인한 명제가 아니다. 이 책은 "기준일이 달라 적용 연도가 어긋날 수 있다"까지만 서술한다.</t>
        </is>
      </c>
      <c r="H20" s="8" t="inlineStr">
        <is>
          <t>04_재산세_과세표준.md L162</t>
        </is>
      </c>
      <c r="I20" s="4" t="inlineStr">
        <is>
          <t>미확인</t>
        </is>
      </c>
      <c r="J20" s="8" t="inlineStr"/>
      <c r="K20" s="8" t="inlineStr"/>
      <c r="L20" s="7" t="inlineStr"/>
      <c r="M20" s="9" t="inlineStr"/>
      <c r="N20" s="8" t="inlineStr"/>
      <c r="O20" s="10" t="inlineStr">
        <is>
          <t>4|L0162|1</t>
        </is>
      </c>
      <c r="P20" s="10" t="inlineStr">
        <is>
          <t>미확인</t>
        </is>
      </c>
    </row>
    <row r="21">
      <c r="A21" s="7" t="n">
        <v>20</v>
      </c>
      <c r="B21" s="7" t="n">
        <v>4</v>
      </c>
      <c r="C21" s="8" t="inlineStr">
        <is>
          <t>4.3.3 계산 순서도</t>
        </is>
      </c>
      <c r="D21" s="7" t="inlineStr">
        <is>
          <t>🟡 중요</t>
        </is>
      </c>
      <c r="E21" s="8" t="inlineStr">
        <is>
          <t>[검증필요]</t>
        </is>
      </c>
      <c r="F21" s="8" t="inlineStr"/>
      <c r="G21" s="8" t="inlineStr">
        <is>
          <t>위 순서는 조문의 문언을 배열한 것이며 "이 순서로 적용한다"고 명시한 조문· 판례를 확인한 것은 아니다.</t>
        </is>
      </c>
      <c r="H21" s="8" t="inlineStr">
        <is>
          <t>04_재산세_과세표준.md L174</t>
        </is>
      </c>
      <c r="I21" s="4" t="inlineStr">
        <is>
          <t>미확인</t>
        </is>
      </c>
      <c r="J21" s="8" t="inlineStr"/>
      <c r="K21" s="8" t="inlineStr"/>
      <c r="L21" s="7" t="inlineStr"/>
      <c r="M21" s="9" t="inlineStr"/>
      <c r="N21" s="8" t="inlineStr"/>
      <c r="O21" s="10" t="inlineStr">
        <is>
          <t>4|L0174|1</t>
        </is>
      </c>
      <c r="P21" s="10" t="inlineStr">
        <is>
          <t>미확인</t>
        </is>
      </c>
    </row>
    <row r="22">
      <c r="A22" s="11" t="n">
        <v>21</v>
      </c>
      <c r="B22" s="11" t="n">
        <v>4</v>
      </c>
      <c r="C22" s="12" t="inlineStr">
        <is>
          <t>4.3.3 계산 순서도</t>
        </is>
      </c>
      <c r="D22" s="11" t="inlineStr">
        <is>
          <t>🔴 최우선</t>
        </is>
      </c>
      <c r="E22" s="12" t="inlineStr">
        <is>
          <t>[검증필요]</t>
        </is>
      </c>
      <c r="F22" s="12" t="inlineStr">
        <is>
          <t>§122</t>
        </is>
      </c>
      <c r="G22" s="12" t="inlineStr">
        <is>
          <t>세부담상한을 일반 재산세액과 도시지역분에 각각 따로 거는지 합산액에 한 번 거는지도 문제된다 — §122 본문이 "제112조 제1항 제1호·제2호 및 같은 조 제2항에 따른 각각의 세액"이라 정하므로 각각 따로 적용하는 구조로 읽히나 이를 확인한 판례를 취득하지 못했다.</t>
        </is>
      </c>
      <c r="H22" s="12" t="inlineStr">
        <is>
          <t>04_재산세_과세표준.md L175</t>
        </is>
      </c>
      <c r="I22" s="4" t="inlineStr">
        <is>
          <t>미확인</t>
        </is>
      </c>
      <c r="J22" s="12" t="inlineStr"/>
      <c r="K22" s="12" t="inlineStr"/>
      <c r="L22" s="11" t="inlineStr"/>
      <c r="M22" s="13" t="inlineStr"/>
      <c r="N22" s="12" t="inlineStr"/>
      <c r="O22" s="14" t="inlineStr">
        <is>
          <t>4|L0175|1</t>
        </is>
      </c>
      <c r="P22" s="14" t="inlineStr">
        <is>
          <t>미확인</t>
        </is>
      </c>
    </row>
    <row r="23">
      <c r="A23" s="2" t="n">
        <v>22</v>
      </c>
      <c r="B23" s="2" t="n">
        <v>4</v>
      </c>
      <c r="C23" s="3" t="inlineStr">
        <is>
          <t>사례 4-2</t>
        </is>
      </c>
      <c r="D23" s="2" t="inlineStr">
        <is>
          <t>🟢 보완</t>
        </is>
      </c>
      <c r="E23" s="3" t="inlineStr">
        <is>
          <t>[검증필요]</t>
        </is>
      </c>
      <c r="F23" s="3" t="inlineStr"/>
      <c r="G23" s="3" t="inlineStr">
        <is>
          <t>위 (2)는 세부담상한의 적용 단위 쟁점을 피하려고 도시지역분을 넣지 않았다.</t>
        </is>
      </c>
      <c r="H23" s="3" t="inlineStr">
        <is>
          <t>04_재산세_과세표준.md L248</t>
        </is>
      </c>
      <c r="I23" s="4" t="inlineStr">
        <is>
          <t>미확인</t>
        </is>
      </c>
      <c r="J23" s="3" t="inlineStr"/>
      <c r="K23" s="3" t="inlineStr"/>
      <c r="L23" s="2" t="inlineStr"/>
      <c r="M23" s="5" t="inlineStr"/>
      <c r="N23" s="3" t="inlineStr"/>
      <c r="O23" s="6" t="inlineStr">
        <is>
          <t>4|L0248|1</t>
        </is>
      </c>
      <c r="P23" s="6" t="inlineStr">
        <is>
          <t>미확인</t>
        </is>
      </c>
    </row>
    <row r="24">
      <c r="A24" s="7" t="n">
        <v>23</v>
      </c>
      <c r="B24" s="7" t="n">
        <v>4</v>
      </c>
      <c r="C24" s="8" t="inlineStr">
        <is>
          <t>4.4.2 판례</t>
        </is>
      </c>
      <c r="D24" s="7" t="inlineStr">
        <is>
          <t>🟡 중요</t>
        </is>
      </c>
      <c r="E24" s="8" t="inlineStr">
        <is>
          <t>[검증필요]</t>
        </is>
      </c>
      <c r="F24" s="8" t="inlineStr">
        <is>
          <t>2012두11843 · 2007두13159</t>
        </is>
      </c>
      <c r="G24" s="8" t="inlineStr">
        <is>
          <t>2012두11843의 하자승계 법리는 원심의 판시이고 대법원은 심리불속행 기각으로 확정하였을 뿐이므로 "대법원이 판시하였다"고 써서는 안 되며, 원심이 인용한 2007두13159 · 95누10075는 사건번호만 기재한다.</t>
        </is>
      </c>
      <c r="H24" s="8" t="inlineStr">
        <is>
          <t>04_재산세_과세표준.md L283</t>
        </is>
      </c>
      <c r="I24" s="4" t="inlineStr">
        <is>
          <t>미확인</t>
        </is>
      </c>
      <c r="J24" s="8" t="inlineStr"/>
      <c r="K24" s="8" t="inlineStr"/>
      <c r="L24" s="7" t="inlineStr"/>
      <c r="M24" s="9" t="inlineStr"/>
      <c r="N24" s="8" t="inlineStr"/>
      <c r="O24" s="10" t="inlineStr">
        <is>
          <t>4|L0283|1</t>
        </is>
      </c>
      <c r="P24" s="10" t="inlineStr">
        <is>
          <t>미확인</t>
        </is>
      </c>
    </row>
    <row r="25">
      <c r="A25" s="2" t="n">
        <v>24</v>
      </c>
      <c r="B25" s="2" t="n">
        <v>4</v>
      </c>
      <c r="C25" s="3" t="inlineStr">
        <is>
          <t>4.4.2 판례</t>
        </is>
      </c>
      <c r="D25" s="2" t="inlineStr">
        <is>
          <t>🟢 보완</t>
        </is>
      </c>
      <c r="E25" s="3" t="inlineStr">
        <is>
          <t>[검증필요]</t>
        </is>
      </c>
      <c r="F25" s="3" t="inlineStr"/>
      <c r="G25" s="3" t="inlineStr">
        <is>
          <t>93누8542는 국가법령정보센터로 원문을 확보하지 못했다.</t>
        </is>
      </c>
      <c r="H25" s="3" t="inlineStr">
        <is>
          <t>04_재산세_과세표준.md L285</t>
        </is>
      </c>
      <c r="I25" s="4" t="inlineStr">
        <is>
          <t>미확인</t>
        </is>
      </c>
      <c r="J25" s="3" t="inlineStr"/>
      <c r="K25" s="3" t="inlineStr"/>
      <c r="L25" s="2" t="inlineStr"/>
      <c r="M25" s="5" t="inlineStr"/>
      <c r="N25" s="3" t="inlineStr"/>
      <c r="O25" s="6" t="inlineStr">
        <is>
          <t>4|L0285|1</t>
        </is>
      </c>
      <c r="P25" s="6" t="inlineStr">
        <is>
          <t>미확인</t>
        </is>
      </c>
    </row>
    <row r="26">
      <c r="A26" s="2" t="n">
        <v>25</v>
      </c>
      <c r="B26" s="2" t="n">
        <v>4</v>
      </c>
      <c r="C26" s="3" t="inlineStr">
        <is>
          <t>4.4.2 판례</t>
        </is>
      </c>
      <c r="D26" s="2" t="inlineStr">
        <is>
          <t>🟢 보완</t>
        </is>
      </c>
      <c r="E26" s="3" t="inlineStr">
        <is>
          <t>[검증필요]</t>
        </is>
      </c>
      <c r="F26" s="3" t="inlineStr">
        <is>
          <t>2017두37253 · 2012두10086 · 2007두13180</t>
        </is>
      </c>
      <c r="G26" s="3" t="inlineStr">
        <is>
          <t>2017두37253의 원심이 원용한 2012두10086 · 2007두13180도 판결문 기재 형태로만 확인하였다.</t>
        </is>
      </c>
      <c r="H26" s="3" t="inlineStr">
        <is>
          <t>04_재산세_과세표준.md L286</t>
        </is>
      </c>
      <c r="I26" s="4" t="inlineStr">
        <is>
          <t>미확인</t>
        </is>
      </c>
      <c r="J26" s="3" t="inlineStr"/>
      <c r="K26" s="3" t="inlineStr"/>
      <c r="L26" s="2" t="inlineStr"/>
      <c r="M26" s="5" t="inlineStr"/>
      <c r="N26" s="3" t="inlineStr"/>
      <c r="O26" s="6" t="inlineStr">
        <is>
          <t>4|L0286|1</t>
        </is>
      </c>
      <c r="P26" s="6" t="inlineStr">
        <is>
          <t>미확인</t>
        </is>
      </c>
    </row>
    <row r="27">
      <c r="A27" s="2" t="n">
        <v>26</v>
      </c>
      <c r="B27" s="2" t="n">
        <v>4</v>
      </c>
      <c r="C27" s="3" t="inlineStr">
        <is>
          <t>4.4.2 판례</t>
        </is>
      </c>
      <c r="D27" s="2" t="inlineStr">
        <is>
          <t>🟢 보완</t>
        </is>
      </c>
      <c r="E27" s="3" t="inlineStr">
        <is>
          <t>[검증필요]</t>
        </is>
      </c>
      <c r="F27" s="3" t="inlineStr">
        <is>
          <t>2020두46301 · 2016두42395 · 2015두41890</t>
        </is>
      </c>
      <c r="G27" s="3" t="inlineStr">
        <is>
          <t>2020두46301은 심리불속행 여부를 확인하지 못했고, 2016두42395 · 2015두41890은 요지를 취득하지 못해 결론을 서술하지 않는다.</t>
        </is>
      </c>
      <c r="H27" s="3" t="inlineStr">
        <is>
          <t>04_재산세_과세표준.md L287</t>
        </is>
      </c>
      <c r="I27" s="4" t="inlineStr">
        <is>
          <t>미확인</t>
        </is>
      </c>
      <c r="J27" s="3" t="inlineStr"/>
      <c r="K27" s="3" t="inlineStr"/>
      <c r="L27" s="2" t="inlineStr"/>
      <c r="M27" s="5" t="inlineStr"/>
      <c r="N27" s="3" t="inlineStr"/>
      <c r="O27" s="6" t="inlineStr">
        <is>
          <t>4|L0287|1</t>
        </is>
      </c>
      <c r="P27" s="6" t="inlineStr">
        <is>
          <t>미확인</t>
        </is>
      </c>
    </row>
    <row r="28">
      <c r="A28" s="7" t="n">
        <v>27</v>
      </c>
      <c r="B28" s="7" t="n">
        <v>5</v>
      </c>
      <c r="C28" s="8" t="inlineStr">
        <is>
          <t>5.2.1 주택</t>
        </is>
      </c>
      <c r="D28" s="7" t="inlineStr">
        <is>
          <t>🟡 중요</t>
        </is>
      </c>
      <c r="E28" s="8" t="inlineStr">
        <is>
          <t>[검증필요]</t>
        </is>
      </c>
      <c r="F28" s="8" t="inlineStr">
        <is>
          <t>법률 제17769호 · §111의2</t>
        </is>
      </c>
      <c r="G28" s="8" t="inlineStr">
        <is>
          <t>부칙(법률 제17769호, 2020.12.29) 제2조는 §111의2 개정규정을 시행일부터 6년이 되는 날까지 성립한 납세의무에 한정한다.</t>
        </is>
      </c>
      <c r="H28" s="8" t="inlineStr">
        <is>
          <t>05_재산세_세율.md L65</t>
        </is>
      </c>
      <c r="I28" s="4" t="inlineStr">
        <is>
          <t>미확인</t>
        </is>
      </c>
      <c r="J28" s="8" t="inlineStr"/>
      <c r="K28" s="8" t="inlineStr"/>
      <c r="L28" s="7" t="inlineStr"/>
      <c r="M28" s="9" t="inlineStr"/>
      <c r="N28" s="8" t="inlineStr"/>
      <c r="O28" s="10" t="inlineStr">
        <is>
          <t>5|L0065|1</t>
        </is>
      </c>
      <c r="P28" s="10" t="inlineStr">
        <is>
          <t>미확인</t>
        </is>
      </c>
    </row>
    <row r="29">
      <c r="A29" s="7" t="n">
        <v>28</v>
      </c>
      <c r="B29" s="7" t="n">
        <v>5</v>
      </c>
      <c r="C29" s="8" t="inlineStr">
        <is>
          <t>5.2.2 건축물</t>
        </is>
      </c>
      <c r="D29" s="7" t="inlineStr">
        <is>
          <t>🟡 중요</t>
        </is>
      </c>
      <c r="E29" s="8" t="inlineStr">
        <is>
          <t>[검증필요]</t>
        </is>
      </c>
      <c r="F29" s="8" t="inlineStr"/>
      <c r="G29" s="8" t="inlineStr">
        <is>
          <t>「남녀를 불문하며」가 삽입된 개정 시점·대통령령 호수는 확정하지 못했다.</t>
        </is>
      </c>
      <c r="H29" s="8" t="inlineStr">
        <is>
          <t>05_재산세_세율.md L90</t>
        </is>
      </c>
      <c r="I29" s="4" t="inlineStr">
        <is>
          <t>미확인</t>
        </is>
      </c>
      <c r="J29" s="8" t="inlineStr"/>
      <c r="K29" s="8" t="inlineStr"/>
      <c r="L29" s="7" t="inlineStr"/>
      <c r="M29" s="9" t="inlineStr"/>
      <c r="N29" s="8" t="inlineStr"/>
      <c r="O29" s="10" t="inlineStr">
        <is>
          <t>5|L0090|1</t>
        </is>
      </c>
      <c r="P29" s="10" t="inlineStr">
        <is>
          <t>미확인</t>
        </is>
      </c>
    </row>
    <row r="30">
      <c r="A30" s="7" t="n">
        <v>29</v>
      </c>
      <c r="B30" s="7" t="n">
        <v>5</v>
      </c>
      <c r="C30" s="8" t="inlineStr">
        <is>
          <t>5.2.4 세율을 「어느 단위」에 적용하는가</t>
        </is>
      </c>
      <c r="D30" s="7" t="inlineStr">
        <is>
          <t>🟡 중요</t>
        </is>
      </c>
      <c r="E30" s="8" t="inlineStr">
        <is>
          <t>[검증필요]</t>
        </is>
      </c>
      <c r="F30" s="8" t="inlineStr">
        <is>
          <t>§113③ · §107①</t>
        </is>
      </c>
      <c r="G30" s="8" t="inlineStr">
        <is>
          <t>이 순서는 §113③과 §107①을 결합해 도출한 것으로, 명시한 단일 조문은 확인하지 못했다.</t>
        </is>
      </c>
      <c r="H30" s="8" t="inlineStr">
        <is>
          <t>05_재산세_세율.md L111</t>
        </is>
      </c>
      <c r="I30" s="4" t="inlineStr">
        <is>
          <t>미확인</t>
        </is>
      </c>
      <c r="J30" s="8" t="inlineStr"/>
      <c r="K30" s="8" t="inlineStr"/>
      <c r="L30" s="7" t="inlineStr"/>
      <c r="M30" s="9" t="inlineStr"/>
      <c r="N30" s="8" t="inlineStr"/>
      <c r="O30" s="10" t="inlineStr">
        <is>
          <t>5|L0111|1</t>
        </is>
      </c>
      <c r="P30" s="10" t="inlineStr">
        <is>
          <t>미확인</t>
        </is>
      </c>
    </row>
    <row r="31">
      <c r="A31" s="7" t="n">
        <v>30</v>
      </c>
      <c r="B31" s="7" t="n">
        <v>5</v>
      </c>
      <c r="C31" s="8" t="inlineStr">
        <is>
          <t>5.3.1 조문의 순서에 따른 계산 흐름</t>
        </is>
      </c>
      <c r="D31" s="7" t="inlineStr">
        <is>
          <t>🟡 중요</t>
        </is>
      </c>
      <c r="E31" s="8" t="inlineStr">
        <is>
          <t>[검증필요]</t>
        </is>
      </c>
      <c r="F31" s="8" t="inlineStr"/>
      <c r="G31" s="8" t="inlineStr">
        <is>
          <t>위 흐름은 각 조문의 문언을 배열한 것이며, 「이 순서로 계산한다」고 명시한 조문이나 판례를 확인한 것은 아니다.</t>
        </is>
      </c>
      <c r="H31" s="8" t="inlineStr">
        <is>
          <t>05_재산세_세율.md L165</t>
        </is>
      </c>
      <c r="I31" s="4" t="inlineStr">
        <is>
          <t>미확인</t>
        </is>
      </c>
      <c r="J31" s="8" t="inlineStr"/>
      <c r="K31" s="8" t="inlineStr"/>
      <c r="L31" s="7" t="inlineStr"/>
      <c r="M31" s="9" t="inlineStr"/>
      <c r="N31" s="8" t="inlineStr"/>
      <c r="O31" s="10" t="inlineStr">
        <is>
          <t>5|L0165|1</t>
        </is>
      </c>
      <c r="P31" s="10" t="inlineStr">
        <is>
          <t>미확인</t>
        </is>
      </c>
    </row>
    <row r="32">
      <c r="A32" s="7" t="n">
        <v>31</v>
      </c>
      <c r="B32" s="7" t="n">
        <v>5</v>
      </c>
      <c r="C32" s="8" t="inlineStr">
        <is>
          <t>5.3.2 ★ 주택은 세부담상한이 아니라 과세표준상한제다</t>
        </is>
      </c>
      <c r="D32" s="7" t="inlineStr">
        <is>
          <t>🟡 중요</t>
        </is>
      </c>
      <c r="E32" s="8" t="inlineStr">
        <is>
          <t>[검증필요]</t>
        </is>
      </c>
      <c r="F32" s="8" t="inlineStr"/>
      <c r="G32" s="8" t="inlineStr">
        <is>
          <t>이 적용 단위는 조문 문언에서 도출한 해석이며 실무 취급과 대조하지 못했다.</t>
        </is>
      </c>
      <c r="H32" s="8" t="inlineStr">
        <is>
          <t>05_재산세_세율.md L190</t>
        </is>
      </c>
      <c r="I32" s="4" t="inlineStr">
        <is>
          <t>미확인</t>
        </is>
      </c>
      <c r="J32" s="8" t="inlineStr"/>
      <c r="K32" s="8" t="inlineStr"/>
      <c r="L32" s="7" t="inlineStr"/>
      <c r="M32" s="9" t="inlineStr"/>
      <c r="N32" s="8" t="inlineStr"/>
      <c r="O32" s="10" t="inlineStr">
        <is>
          <t>5|L0190|1</t>
        </is>
      </c>
      <c r="P32" s="10" t="inlineStr">
        <is>
          <t>미확인</t>
        </is>
      </c>
    </row>
    <row r="33">
      <c r="A33" s="2" t="n">
        <v>32</v>
      </c>
      <c r="B33" s="2" t="n">
        <v>5</v>
      </c>
      <c r="C33" s="3" t="inlineStr">
        <is>
          <t>5.3.2 ★ 주택은 세부담상한이 아니라 과세표준상한제다</t>
        </is>
      </c>
      <c r="D33" s="2" t="inlineStr">
        <is>
          <t>🟢 보완</t>
        </is>
      </c>
      <c r="E33" s="3" t="inlineStr">
        <is>
          <t>[검증필요]</t>
        </is>
      </c>
      <c r="F33" s="3" t="inlineStr">
        <is>
          <t>§147② · §122</t>
        </is>
      </c>
      <c r="G33" s="3" t="inlineStr">
        <is>
          <t>소방분 지역자원시설세의 세부담상한 적용 여부 — §147②은 "§122 본문"만 준용해 주택 배제 단서가 따라오는지 불명확하다.</t>
        </is>
      </c>
      <c r="H33" s="3" t="inlineStr">
        <is>
          <t>05_재산세_세율.md L192</t>
        </is>
      </c>
      <c r="I33" s="4" t="inlineStr">
        <is>
          <t>미확인</t>
        </is>
      </c>
      <c r="J33" s="3" t="inlineStr"/>
      <c r="K33" s="3" t="inlineStr"/>
      <c r="L33" s="2" t="inlineStr"/>
      <c r="M33" s="5" t="inlineStr"/>
      <c r="N33" s="3" t="inlineStr"/>
      <c r="O33" s="6" t="inlineStr">
        <is>
          <t>5|L0192|1</t>
        </is>
      </c>
      <c r="P33" s="6" t="inlineStr">
        <is>
          <t>미확인</t>
        </is>
      </c>
    </row>
    <row r="34">
      <c r="A34" s="11" t="n">
        <v>33</v>
      </c>
      <c r="B34" s="11" t="n">
        <v>5</v>
      </c>
      <c r="C34" s="12" t="inlineStr">
        <is>
          <t>5.3.3 ★ 「표준세율로 계산한 세액」과 「실제 부과세액」의 구분</t>
        </is>
      </c>
      <c r="D34" s="11" t="inlineStr">
        <is>
          <t>🔴 최우선</t>
        </is>
      </c>
      <c r="E34" s="12" t="inlineStr">
        <is>
          <t>[검증필요]</t>
        </is>
      </c>
      <c r="F34" s="12" t="inlineStr"/>
      <c r="G34" s="12" t="inlineStr">
        <is>
          <t>이 산식은 법령 원문이 이미지와 텍스트를 병기한 형태여서, 분자·분모 배치를 종이 법령집으로 최종 대조할 필요가 있다(→ 제13장에서 재확인). 📌 개정 예고 (확정 아님 · 2026-08 입법 진행 중) — 2026년 세제개편안은 종부세 기본공제 이원화 (실거주 14억 / 비거주 9억), 공정시</t>
        </is>
      </c>
      <c r="H34" s="12" t="inlineStr">
        <is>
          <t>05_재산세_세율.md L225</t>
        </is>
      </c>
      <c r="I34" s="4" t="inlineStr">
        <is>
          <t>미확인</t>
        </is>
      </c>
      <c r="J34" s="12" t="inlineStr"/>
      <c r="K34" s="12" t="inlineStr"/>
      <c r="L34" s="11" t="inlineStr"/>
      <c r="M34" s="13" t="inlineStr"/>
      <c r="N34" s="12" t="inlineStr"/>
      <c r="O34" s="14" t="inlineStr">
        <is>
          <t>5|L0225|1</t>
        </is>
      </c>
      <c r="P34" s="14" t="inlineStr">
        <is>
          <t>미확인</t>
        </is>
      </c>
    </row>
    <row r="35">
      <c r="A35" s="11" t="n">
        <v>34</v>
      </c>
      <c r="B35" s="11" t="n">
        <v>5</v>
      </c>
      <c r="C35" s="12" t="inlineStr">
        <is>
          <t>5.3.3 ★ 「표준세율로 계산한 세액」과 「실제 부과세액」의 구분</t>
        </is>
      </c>
      <c r="D35" s="11" t="inlineStr">
        <is>
          <t>🔴 최우선</t>
        </is>
      </c>
      <c r="E35" s="12" t="inlineStr">
        <is>
          <t>[검증필요]</t>
        </is>
      </c>
      <c r="F35" s="12" t="inlineStr"/>
      <c r="G35" s="12" t="inlineStr">
        <is>
          <t>--- ## 5.4 판례·사례 ### 5.4.1 계산 사례 아래 세 사례는 verify_calc.py 기계 검산을 통과한 것이며 세율은 전부 법령 원문 확인분이다.</t>
        </is>
      </c>
      <c r="H35" s="12" t="inlineStr">
        <is>
          <t>05_재산세_세율.md L231</t>
        </is>
      </c>
      <c r="I35" s="4" t="inlineStr">
        <is>
          <t>미확인</t>
        </is>
      </c>
      <c r="J35" s="12" t="inlineStr"/>
      <c r="K35" s="12" t="inlineStr"/>
      <c r="L35" s="11" t="inlineStr"/>
      <c r="M35" s="13" t="inlineStr"/>
      <c r="N35" s="12" t="inlineStr"/>
      <c r="O35" s="14" t="inlineStr">
        <is>
          <t>5|L0231|1</t>
        </is>
      </c>
      <c r="P35" s="14" t="inlineStr">
        <is>
          <t>미확인</t>
        </is>
      </c>
    </row>
    <row r="36">
      <c r="A36" s="7" t="n">
        <v>35</v>
      </c>
      <c r="B36" s="7" t="n">
        <v>5</v>
      </c>
      <c r="C36" s="8" t="inlineStr">
        <is>
          <t>사례 5-2 · 고지서 한 장의 해부</t>
        </is>
      </c>
      <c r="D36" s="7" t="inlineStr">
        <is>
          <t>🟡 중요</t>
        </is>
      </c>
      <c r="E36" s="8" t="inlineStr">
        <is>
          <t>[검증필요]</t>
        </is>
      </c>
      <c r="F36" s="8" t="inlineStr"/>
      <c r="G36" s="8" t="inlineStr">
        <is>
          <t>도시지역분·지방교육세·지역자원시설세도 7월·9월로 반분되는지는 조문으로 확정하지 못했다.</t>
        </is>
      </c>
      <c r="H36" s="8" t="inlineStr">
        <is>
          <t>05_재산세_세율.md L286</t>
        </is>
      </c>
      <c r="I36" s="4" t="inlineStr">
        <is>
          <t>미확인</t>
        </is>
      </c>
      <c r="J36" s="8" t="inlineStr"/>
      <c r="K36" s="8" t="inlineStr"/>
      <c r="L36" s="7" t="inlineStr"/>
      <c r="M36" s="9" t="inlineStr"/>
      <c r="N36" s="8" t="inlineStr"/>
      <c r="O36" s="10" t="inlineStr">
        <is>
          <t>5|L0286|1</t>
        </is>
      </c>
      <c r="P36" s="10" t="inlineStr">
        <is>
          <t>미확인</t>
        </is>
      </c>
    </row>
    <row r="37">
      <c r="A37" s="2" t="n">
        <v>36</v>
      </c>
      <c r="B37" s="2" t="n">
        <v>5</v>
      </c>
      <c r="C37" s="3" t="inlineStr">
        <is>
          <t>5.4.2 판례</t>
        </is>
      </c>
      <c r="D37" s="2" t="inlineStr">
        <is>
          <t>🟢 보완</t>
        </is>
      </c>
      <c r="E37" s="3" t="inlineStr">
        <is>
          <t>[검증필요]</t>
        </is>
      </c>
      <c r="F37" s="3" t="inlineStr">
        <is>
          <t>2019두56357 · 2023두47435</t>
        </is>
      </c>
      <c r="G37" s="3" t="inlineStr">
        <is>
          <t>2019두56357과 2023두47435의 결론이 갈린 이유는 확정하지 못했다.</t>
        </is>
      </c>
      <c r="H37" s="3" t="inlineStr">
        <is>
          <t>05_재산세_세율.md L327</t>
        </is>
      </c>
      <c r="I37" s="4" t="inlineStr">
        <is>
          <t>미확인</t>
        </is>
      </c>
      <c r="J37" s="3" t="inlineStr"/>
      <c r="K37" s="3" t="inlineStr"/>
      <c r="L37" s="2" t="inlineStr"/>
      <c r="M37" s="5" t="inlineStr"/>
      <c r="N37" s="3" t="inlineStr"/>
      <c r="O37" s="6" t="inlineStr">
        <is>
          <t>5|L0327|1</t>
        </is>
      </c>
      <c r="P37" s="6" t="inlineStr">
        <is>
          <t>미확인</t>
        </is>
      </c>
    </row>
    <row r="38">
      <c r="A38" s="7" t="n">
        <v>37</v>
      </c>
      <c r="B38" s="7" t="n">
        <v>5</v>
      </c>
      <c r="C38" s="8" t="inlineStr">
        <is>
          <t>5.4.2 판례</t>
        </is>
      </c>
      <c r="D38" s="7" t="inlineStr">
        <is>
          <t>🟡 중요</t>
        </is>
      </c>
      <c r="E38" s="8" t="inlineStr">
        <is>
          <t>[검증필요]</t>
        </is>
      </c>
      <c r="F38" s="8" t="inlineStr">
        <is>
          <t>§106②</t>
        </is>
      </c>
      <c r="G38" s="8" t="inlineStr">
        <is>
          <t>§106②2의2 적용 시 세부담이 늘어나는지 줄어드는지는 조문에서 단정할 수 없다.</t>
        </is>
      </c>
      <c r="H38" s="8" t="inlineStr">
        <is>
          <t>05_재산세_세율.md L328</t>
        </is>
      </c>
      <c r="I38" s="4" t="inlineStr">
        <is>
          <t>미확인</t>
        </is>
      </c>
      <c r="J38" s="8" t="inlineStr"/>
      <c r="K38" s="8" t="inlineStr"/>
      <c r="L38" s="7" t="inlineStr"/>
      <c r="M38" s="9" t="inlineStr"/>
      <c r="N38" s="8" t="inlineStr"/>
      <c r="O38" s="10" t="inlineStr">
        <is>
          <t>5|L0328|1</t>
        </is>
      </c>
      <c r="P38" s="10" t="inlineStr">
        <is>
          <t>미확인</t>
        </is>
      </c>
    </row>
    <row r="39">
      <c r="A39" s="2" t="n">
        <v>38</v>
      </c>
      <c r="B39" s="2" t="n">
        <v>5</v>
      </c>
      <c r="C39" s="3" t="inlineStr">
        <is>
          <t>5.4.3 판례</t>
        </is>
      </c>
      <c r="D39" s="2" t="inlineStr">
        <is>
          <t>🟢 보완</t>
        </is>
      </c>
      <c r="E39" s="3" t="inlineStr">
        <is>
          <t>[검증필요]</t>
        </is>
      </c>
      <c r="F39" s="3" t="inlineStr"/>
      <c r="G39" s="3" t="inlineStr">
        <is>
          <t>두 「미집행」을 같은 것으로 서술해서는 안 되며, 원용 가능성과 심리불속행 여부도 미확정이다.</t>
        </is>
      </c>
      <c r="H39" s="3" t="inlineStr">
        <is>
          <t>05_재산세_세율.md L353</t>
        </is>
      </c>
      <c r="I39" s="4" t="inlineStr">
        <is>
          <t>미확인</t>
        </is>
      </c>
      <c r="J39" s="3" t="inlineStr"/>
      <c r="K39" s="3" t="inlineStr"/>
      <c r="L39" s="2" t="inlineStr"/>
      <c r="M39" s="5" t="inlineStr"/>
      <c r="N39" s="3" t="inlineStr"/>
      <c r="O39" s="6" t="inlineStr">
        <is>
          <t>5|L0353|1</t>
        </is>
      </c>
      <c r="P39" s="6" t="inlineStr">
        <is>
          <t>미확인</t>
        </is>
      </c>
    </row>
    <row r="40">
      <c r="A40" s="7" t="n">
        <v>39</v>
      </c>
      <c r="B40" s="7" t="n">
        <v>5</v>
      </c>
      <c r="C40" s="8" t="inlineStr">
        <is>
          <t>5.4.3 판례</t>
        </is>
      </c>
      <c r="D40" s="7" t="inlineStr">
        <is>
          <t>🟡 중요</t>
        </is>
      </c>
      <c r="E40" s="8" t="inlineStr">
        <is>
          <t>[검증필요]</t>
        </is>
      </c>
      <c r="F40" s="8" t="inlineStr">
        <is>
          <t>2007두10303 · 2017두59154 · 2012두17568</t>
        </is>
      </c>
      <c r="G40" s="8" t="inlineStr">
        <is>
          <t>2007두10303(2017두59154 원심 인용)은 원문 미취득으로 사건번호만 기재하며, 2012두17568의 심리불속행 여부도 확인하지 못했다.</t>
        </is>
      </c>
      <c r="H40" s="8" t="inlineStr">
        <is>
          <t>05_재산세_세율.md L356</t>
        </is>
      </c>
      <c r="I40" s="4" t="inlineStr">
        <is>
          <t>미확인</t>
        </is>
      </c>
      <c r="J40" s="8" t="inlineStr"/>
      <c r="K40" s="8" t="inlineStr"/>
      <c r="L40" s="7" t="inlineStr"/>
      <c r="M40" s="9" t="inlineStr"/>
      <c r="N40" s="8" t="inlineStr"/>
      <c r="O40" s="10" t="inlineStr">
        <is>
          <t>5|L0356|1</t>
        </is>
      </c>
      <c r="P40" s="10" t="inlineStr">
        <is>
          <t>미확인</t>
        </is>
      </c>
    </row>
    <row r="41">
      <c r="A41" s="2" t="n">
        <v>40</v>
      </c>
      <c r="B41" s="2" t="n">
        <v>5</v>
      </c>
      <c r="C41" s="3" t="inlineStr">
        <is>
          <t>5.4.3 판례</t>
        </is>
      </c>
      <c r="D41" s="2" t="inlineStr">
        <is>
          <t>🟢 보완</t>
        </is>
      </c>
      <c r="E41" s="3" t="inlineStr">
        <is>
          <t>[검증필요]</t>
        </is>
      </c>
      <c r="F41" s="3" t="inlineStr">
        <is>
          <t>2016두50754</t>
        </is>
      </c>
      <c r="G41" s="3" t="inlineStr">
        <is>
          <t>2016두50754는 신탁부동산의 분리과세·감면을 재산세 납세의무자 기준으로 판단한다는 법리를 냈으나 당시 납세의무자가 수탁자였던 법 상태를 전제한다.</t>
        </is>
      </c>
      <c r="H41" s="3" t="inlineStr">
        <is>
          <t>05_재산세_세율.md L358</t>
        </is>
      </c>
      <c r="I41" s="4" t="inlineStr">
        <is>
          <t>미확인</t>
        </is>
      </c>
      <c r="J41" s="3" t="inlineStr"/>
      <c r="K41" s="3" t="inlineStr"/>
      <c r="L41" s="2" t="inlineStr"/>
      <c r="M41" s="5" t="inlineStr"/>
      <c r="N41" s="3" t="inlineStr"/>
      <c r="O41" s="6" t="inlineStr">
        <is>
          <t>5|L0358|1</t>
        </is>
      </c>
      <c r="P41" s="6" t="inlineStr">
        <is>
          <t>미확인</t>
        </is>
      </c>
    </row>
    <row r="42">
      <c r="A42" s="2" t="n">
        <v>41</v>
      </c>
      <c r="B42" s="2" t="n">
        <v>5</v>
      </c>
      <c r="C42" s="3" t="inlineStr">
        <is>
          <t>5.4.3 판례</t>
        </is>
      </c>
      <c r="D42" s="2" t="inlineStr">
        <is>
          <t>🟢 보완</t>
        </is>
      </c>
      <c r="E42" s="3" t="inlineStr">
        <is>
          <t>[검증필요]</t>
        </is>
      </c>
      <c r="F42" s="3" t="inlineStr"/>
      <c r="G42" s="3" t="inlineStr">
        <is>
          <t>법제처 법령해석례 13-0160·21-0659는 회신 본문 미취득으로 결론을 쓰지 않는다.</t>
        </is>
      </c>
      <c r="H42" s="3" t="inlineStr">
        <is>
          <t>05_재산세_세율.md L361</t>
        </is>
      </c>
      <c r="I42" s="4" t="inlineStr">
        <is>
          <t>미확인</t>
        </is>
      </c>
      <c r="J42" s="3" t="inlineStr"/>
      <c r="K42" s="3" t="inlineStr"/>
      <c r="L42" s="2" t="inlineStr"/>
      <c r="M42" s="5" t="inlineStr"/>
      <c r="N42" s="3" t="inlineStr"/>
      <c r="O42" s="6" t="inlineStr">
        <is>
          <t>5|L0361|1</t>
        </is>
      </c>
      <c r="P42" s="6" t="inlineStr">
        <is>
          <t>미확인</t>
        </is>
      </c>
    </row>
    <row r="43">
      <c r="A43" s="2" t="n">
        <v>42</v>
      </c>
      <c r="B43" s="2" t="n">
        <v>6</v>
      </c>
      <c r="C43" s="3" t="inlineStr">
        <is>
          <t>6.2.4 조례 감면</t>
        </is>
      </c>
      <c r="D43" s="2" t="inlineStr">
        <is>
          <t>🟢 보완</t>
        </is>
      </c>
      <c r="E43" s="3" t="inlineStr">
        <is>
          <t>[검증필요 — 서울 25개 자치구 구세 감면 조례 미조회. 개별 구의 감면율은 관할 구 조례로 확인]</t>
        </is>
      </c>
      <c r="F43" s="3" t="inlineStr"/>
      <c r="G43" s="3" t="inlineStr">
        <is>
          <t>서울 25개 자치구 구세 감면 조례 미조회. 개별 구의 감면율은 관할 구 조례로 확인</t>
        </is>
      </c>
      <c r="H43" s="3" t="inlineStr">
        <is>
          <t>06_재산세_비과세감면.md L123</t>
        </is>
      </c>
      <c r="I43" s="4" t="inlineStr">
        <is>
          <t>미확인</t>
        </is>
      </c>
      <c r="J43" s="3" t="inlineStr"/>
      <c r="K43" s="3" t="inlineStr"/>
      <c r="L43" s="2" t="inlineStr"/>
      <c r="M43" s="5" t="inlineStr"/>
      <c r="N43" s="3" t="inlineStr"/>
      <c r="O43" s="6" t="inlineStr">
        <is>
          <t>6|L0123|1</t>
        </is>
      </c>
      <c r="P43" s="6" t="inlineStr">
        <is>
          <t>미확인</t>
        </is>
      </c>
    </row>
    <row r="44">
      <c r="A44" s="11" t="n">
        <v>43</v>
      </c>
      <c r="B44" s="11" t="n">
        <v>6</v>
      </c>
      <c r="C44" s="12" t="inlineStr">
        <is>
          <t>6.3 실무 절차</t>
        </is>
      </c>
      <c r="D44" s="11" t="inlineStr">
        <is>
          <t>🔴 최우선</t>
        </is>
      </c>
      <c r="E44" s="12" t="inlineStr">
        <is>
          <t>[검증필요 — 보통징수 재산세에 대한 경정청구 가부]</t>
        </is>
      </c>
      <c r="F44" s="12" t="inlineStr"/>
      <c r="G44" s="12" t="inlineStr">
        <is>
          <t>보통징수 재산세에 대한 경정청구 가부</t>
        </is>
      </c>
      <c r="H44" s="12" t="inlineStr">
        <is>
          <t>06_재산세_비과세감면.md L133</t>
        </is>
      </c>
      <c r="I44" s="4" t="inlineStr">
        <is>
          <t>미확인</t>
        </is>
      </c>
      <c r="J44" s="12" t="inlineStr"/>
      <c r="K44" s="12" t="inlineStr"/>
      <c r="L44" s="11" t="inlineStr"/>
      <c r="M44" s="13" t="inlineStr"/>
      <c r="N44" s="12" t="inlineStr"/>
      <c r="O44" s="14" t="inlineStr">
        <is>
          <t>6|L0133|1</t>
        </is>
      </c>
      <c r="P44" s="14" t="inlineStr">
        <is>
          <t>미확인</t>
        </is>
      </c>
    </row>
    <row r="45">
      <c r="A45" s="11" t="n">
        <v>44</v>
      </c>
      <c r="B45" s="11" t="n">
        <v>6</v>
      </c>
      <c r="C45" s="12" t="inlineStr">
        <is>
          <t>6.3 실무 절차</t>
        </is>
      </c>
      <c r="D45" s="11" t="inlineStr">
        <is>
          <t>🔴 최우선</t>
        </is>
      </c>
      <c r="E45" s="12" t="inlineStr">
        <is>
          <t>[검증필요 — 감면세액을 지방교육세 과세표준에 반영하는 방식에 관한 행정안전부 운영 기준 미조회]</t>
        </is>
      </c>
      <c r="F45" s="12" t="inlineStr">
        <is>
          <t>시행령 제123조의2</t>
        </is>
      </c>
      <c r="G45" s="12" t="inlineStr">
        <is>
          <t>재산세 감면 추징 시 이자상당액을 가산하는 개별 조문의 존부. 취득세에는 시행령 제123조의2에 계산 규정이 있으나 재산세에는 일반 규정이 없다</t>
        </is>
      </c>
      <c r="H45" s="12" t="inlineStr">
        <is>
          <t>06_재산세_비과세감면.md L175</t>
        </is>
      </c>
      <c r="I45" s="4" t="inlineStr">
        <is>
          <t>미확인</t>
        </is>
      </c>
      <c r="J45" s="12" t="inlineStr"/>
      <c r="K45" s="12" t="inlineStr"/>
      <c r="L45" s="11" t="inlineStr"/>
      <c r="M45" s="13" t="inlineStr"/>
      <c r="N45" s="12" t="inlineStr"/>
      <c r="O45" s="14" t="inlineStr">
        <is>
          <t>6|L0142|1</t>
        </is>
      </c>
      <c r="P45" s="14" t="inlineStr">
        <is>
          <t>미확인</t>
        </is>
      </c>
    </row>
    <row r="46">
      <c r="A46" s="11" t="n">
        <v>45</v>
      </c>
      <c r="B46" s="11" t="n">
        <v>6</v>
      </c>
      <c r="C46" s="12" t="inlineStr">
        <is>
          <t>6.4.1 계산 사례</t>
        </is>
      </c>
      <c r="D46" s="11" t="inlineStr">
        <is>
          <t>🔴 최우선</t>
        </is>
      </c>
      <c r="E46" s="12" t="inlineStr">
        <is>
          <t>[검증필요 — 50만 원 판정에 도시지역분(「지방세법」 제112조 제1항 제2호) 세액이 포함되는지 여부]</t>
        </is>
      </c>
      <c r="F46" s="12" t="inlineStr"/>
      <c r="G46" s="12" t="inlineStr">
        <is>
          <t>감면세액을 지방교육세 과세표준에 반영하는 방식에 관한 행정안전부 운영 기준 미조회</t>
        </is>
      </c>
      <c r="H46" s="12" t="inlineStr">
        <is>
          <t>06_재산세_비과세감면.md L191</t>
        </is>
      </c>
      <c r="I46" s="4" t="inlineStr">
        <is>
          <t>미확인</t>
        </is>
      </c>
      <c r="J46" s="12" t="inlineStr"/>
      <c r="K46" s="12" t="inlineStr"/>
      <c r="L46" s="11" t="inlineStr"/>
      <c r="M46" s="13" t="inlineStr"/>
      <c r="N46" s="12" t="inlineStr"/>
      <c r="O46" s="14" t="inlineStr">
        <is>
          <t>6|L0175|1</t>
        </is>
      </c>
      <c r="P46" s="14" t="inlineStr">
        <is>
          <t>미확인</t>
        </is>
      </c>
    </row>
    <row r="47">
      <c r="A47" s="11" t="n">
        <v>46</v>
      </c>
      <c r="B47" s="11" t="n">
        <v>6</v>
      </c>
      <c r="C47" s="12" t="inlineStr">
        <is>
          <t>6.4.1 계산 사례</t>
        </is>
      </c>
      <c r="D47" s="11" t="inlineStr">
        <is>
          <t>🔴 최우선</t>
        </is>
      </c>
      <c r="E47" s="12" t="inlineStr">
        <is>
          <t>[검증필요 — 일몰이 2026년 12월 31일인 감면(제20조 무료 노인복지시설 등)의 연장 여부]</t>
        </is>
      </c>
      <c r="F47" s="12" t="inlineStr"/>
      <c r="G47" s="12" t="inlineStr">
        <is>
          <t>50만 원 판정에 도시지역분(「지방세법」 제112조 제1항 제2호) 세액이 포함되는지 여부</t>
        </is>
      </c>
      <c r="H47" s="12" t="inlineStr">
        <is>
          <t>06_재산세_비과세감면.md L242</t>
        </is>
      </c>
      <c r="I47" s="4" t="inlineStr">
        <is>
          <t>미확인</t>
        </is>
      </c>
      <c r="J47" s="12" t="inlineStr"/>
      <c r="K47" s="12" t="inlineStr"/>
      <c r="L47" s="11" t="inlineStr"/>
      <c r="M47" s="13" t="inlineStr"/>
      <c r="N47" s="12" t="inlineStr"/>
      <c r="O47" s="14" t="inlineStr">
        <is>
          <t>6|L0191|1</t>
        </is>
      </c>
      <c r="P47" s="14" t="inlineStr">
        <is>
          <t>미확인</t>
        </is>
      </c>
    </row>
    <row r="48">
      <c r="A48" s="7" t="n">
        <v>47</v>
      </c>
      <c r="B48" s="7" t="n">
        <v>6</v>
      </c>
      <c r="C48" s="8" t="inlineStr">
        <is>
          <t>6.6 이 장의 핵심 체크리스트</t>
        </is>
      </c>
      <c r="D48" s="7" t="inlineStr">
        <is>
          <t>🟡 중요</t>
        </is>
      </c>
      <c r="E48" s="8" t="inlineStr">
        <is>
          <t>[검증필요 — 제179조 토지 경감의 실무 적용 방식(과세표준 차감형인지 세액 경감형인지)]</t>
        </is>
      </c>
      <c r="F48" s="8" t="inlineStr">
        <is>
          <t>법률 제21738호</t>
        </is>
      </c>
      <c r="G48" s="8" t="inlineStr">
        <is>
          <t>인용한 「지방세특례제한법」 현행본은 2026년 6월 2일 시행분(법률 제21738호)으로 과세 기준일보다 하루 늦다. 6월 1일 성립분 적용 판(版)과의 동일성을 부칙으로 대조할 것</t>
        </is>
      </c>
      <c r="H48" s="8" t="inlineStr">
        <is>
          <t>06_재산세_비과세감면.md L243</t>
        </is>
      </c>
      <c r="I48" s="4" t="inlineStr">
        <is>
          <t>미확인</t>
        </is>
      </c>
      <c r="J48" s="8" t="inlineStr"/>
      <c r="K48" s="8" t="inlineStr"/>
      <c r="L48" s="7" t="inlineStr"/>
      <c r="M48" s="9" t="inlineStr"/>
      <c r="N48" s="8" t="inlineStr"/>
      <c r="O48" s="10" t="inlineStr">
        <is>
          <t>6|L0240|1</t>
        </is>
      </c>
      <c r="P48" s="10" t="inlineStr">
        <is>
          <t>미확인</t>
        </is>
      </c>
    </row>
    <row r="49">
      <c r="A49" s="7" t="n">
        <v>48</v>
      </c>
      <c r="B49" s="7" t="n">
        <v>6</v>
      </c>
      <c r="C49" s="8" t="inlineStr">
        <is>
          <t>6.6 이 장의 핵심 체크리스트</t>
        </is>
      </c>
      <c r="D49" s="7" t="inlineStr">
        <is>
          <t>🟡 중요</t>
        </is>
      </c>
      <c r="E49" s="8" t="inlineStr"/>
      <c r="F49" s="8" t="inlineStr"/>
      <c r="G49" s="8" t="inlineStr">
        <is>
          <t>일몰이 2026년 12월 31일인 감면(제20조 무료 노인복지시설 등)의 연장 여부</t>
        </is>
      </c>
      <c r="H49" s="8" t="inlineStr">
        <is>
          <t>(원고에서 마커 미발견)</t>
        </is>
      </c>
      <c r="I49" s="4" t="inlineStr">
        <is>
          <t>미확인</t>
        </is>
      </c>
      <c r="J49" s="8" t="inlineStr"/>
      <c r="K49" s="8" t="inlineStr"/>
      <c r="L49" s="7" t="inlineStr"/>
      <c r="M49" s="9" t="inlineStr"/>
      <c r="N49" s="8" t="inlineStr"/>
      <c r="O49" s="10" t="inlineStr">
        <is>
          <t>6|L0242|1</t>
        </is>
      </c>
      <c r="P49" s="10" t="inlineStr">
        <is>
          <t>미확인</t>
        </is>
      </c>
    </row>
    <row r="50">
      <c r="A50" s="11" t="n">
        <v>49</v>
      </c>
      <c r="B50" s="11" t="n">
        <v>6</v>
      </c>
      <c r="C50" s="12" t="inlineStr">
        <is>
          <t>6.6 이 장의 핵심 체크리스트</t>
        </is>
      </c>
      <c r="D50" s="11" t="inlineStr">
        <is>
          <t>🔴 최우선</t>
        </is>
      </c>
      <c r="E50" s="12" t="inlineStr"/>
      <c r="F50" s="12" t="inlineStr"/>
      <c r="G50" s="12" t="inlineStr">
        <is>
          <t>제179조 토지 경감의 실무 적용 방식(과세표준 차감형인지 세액 경감형인지)</t>
        </is>
      </c>
      <c r="H50" s="12" t="inlineStr">
        <is>
          <t>(원고에서 마커 미발견)</t>
        </is>
      </c>
      <c r="I50" s="4" t="inlineStr">
        <is>
          <t>미확인</t>
        </is>
      </c>
      <c r="J50" s="12" t="inlineStr"/>
      <c r="K50" s="12" t="inlineStr"/>
      <c r="L50" s="11" t="inlineStr"/>
      <c r="M50" s="13" t="inlineStr"/>
      <c r="N50" s="12" t="inlineStr"/>
      <c r="O50" s="14" t="inlineStr">
        <is>
          <t>6|L0243|1</t>
        </is>
      </c>
      <c r="P50" s="14" t="inlineStr">
        <is>
          <t>미확인</t>
        </is>
      </c>
    </row>
    <row r="51">
      <c r="A51" s="7" t="n">
        <v>50</v>
      </c>
      <c r="B51" s="7" t="n">
        <v>7</v>
      </c>
      <c r="C51" s="8" t="inlineStr">
        <is>
          <t>7.2.3 납부지연가산세</t>
        </is>
      </c>
      <c r="D51" s="7" t="inlineStr">
        <is>
          <t>🟡 중요</t>
        </is>
      </c>
      <c r="E51" s="8" t="inlineStr">
        <is>
          <t>[검증필요]</t>
        </is>
      </c>
      <c r="F51" s="8" t="inlineStr"/>
      <c r="G51" s="8" t="inlineStr">
        <is>
          <t>통합 개정의 법률 호수·시행일과 경과규정은 미확인이므로 폐지 연도를 기재하지 않는다. 💡 세무 전문가 심화 — 제57조 제2항 제1호·제2호의 수정신고·기한후신고 가산세 감면은 신고납부 세목의 장치여서 재산세 상담에 원용하면 부정확하다.</t>
        </is>
      </c>
      <c r="H51" s="8" t="inlineStr">
        <is>
          <t>07_재산세_부과징수.md L78</t>
        </is>
      </c>
      <c r="I51" s="4" t="inlineStr">
        <is>
          <t>미확인</t>
        </is>
      </c>
      <c r="J51" s="8" t="inlineStr"/>
      <c r="K51" s="8" t="inlineStr"/>
      <c r="L51" s="7" t="inlineStr"/>
      <c r="M51" s="9" t="inlineStr"/>
      <c r="N51" s="8" t="inlineStr"/>
      <c r="O51" s="10" t="inlineStr">
        <is>
          <t>7|L0078|1</t>
        </is>
      </c>
      <c r="P51" s="10" t="inlineStr">
        <is>
          <t>미확인</t>
        </is>
      </c>
    </row>
    <row r="52">
      <c r="A52" s="7" t="n">
        <v>51</v>
      </c>
      <c r="B52" s="7" t="n">
        <v>7</v>
      </c>
      <c r="C52" s="8" t="inlineStr">
        <is>
          <t>7.2.3 납부지연가산세</t>
        </is>
      </c>
      <c r="D52" s="7" t="inlineStr">
        <is>
          <t>🟡 중요</t>
        </is>
      </c>
      <c r="E52" s="8" t="inlineStr">
        <is>
          <t>[검증필요]</t>
        </is>
      </c>
      <c r="F52" s="8" t="inlineStr"/>
      <c r="G52" s="8" t="inlineStr">
        <is>
          <t>재산세에 제53조·제54조 가산세가 적용되지 않는다는 결론은 조문 구조상의 귀결이며, 행정안전부 운영 기준의 명문 근거와 제120조 신고의무 위반 시 수정신고 가능 여부는 미확인이다.</t>
        </is>
      </c>
      <c r="H52" s="8" t="inlineStr">
        <is>
          <t>07_재산세_부과징수.md L82</t>
        </is>
      </c>
      <c r="I52" s="4" t="inlineStr">
        <is>
          <t>미확인</t>
        </is>
      </c>
      <c r="J52" s="8" t="inlineStr"/>
      <c r="K52" s="8" t="inlineStr"/>
      <c r="L52" s="7" t="inlineStr"/>
      <c r="M52" s="9" t="inlineStr"/>
      <c r="N52" s="8" t="inlineStr"/>
      <c r="O52" s="10" t="inlineStr">
        <is>
          <t>7|L0082|1</t>
        </is>
      </c>
      <c r="P52" s="10" t="inlineStr">
        <is>
          <t>미확인</t>
        </is>
      </c>
    </row>
    <row r="53">
      <c r="A53" s="11" t="n">
        <v>52</v>
      </c>
      <c r="B53" s="11" t="n">
        <v>7</v>
      </c>
      <c r="C53" s="12" t="inlineStr">
        <is>
          <t>7.2.4 시정하는 경로</t>
        </is>
      </c>
      <c r="D53" s="11" t="inlineStr">
        <is>
          <t>🔴 최우선</t>
        </is>
      </c>
      <c r="E53" s="12" t="inlineStr">
        <is>
          <t>[검증필요]</t>
        </is>
      </c>
      <c r="F53" s="12" t="inlineStr"/>
      <c r="G53" s="12" t="inlineStr">
        <is>
          <t>보통징수 재산세에 대한 경정청구 가부</t>
        </is>
      </c>
      <c r="H53" s="12" t="inlineStr">
        <is>
          <t>07_재산세_부과징수.md L191</t>
        </is>
      </c>
      <c r="I53" s="4" t="inlineStr">
        <is>
          <t>미확인</t>
        </is>
      </c>
      <c r="J53" s="12" t="inlineStr"/>
      <c r="K53" s="12" t="inlineStr"/>
      <c r="L53" s="11" t="inlineStr"/>
      <c r="M53" s="13" t="inlineStr"/>
      <c r="N53" s="12" t="inlineStr"/>
      <c r="O53" s="14" t="inlineStr">
        <is>
          <t>7|L0093|1</t>
        </is>
      </c>
      <c r="P53" s="14" t="inlineStr">
        <is>
          <t>미확인</t>
        </is>
      </c>
    </row>
    <row r="54">
      <c r="A54" s="7" t="n">
        <v>53</v>
      </c>
      <c r="B54" s="7" t="n">
        <v>7</v>
      </c>
      <c r="C54" s="8" t="inlineStr">
        <is>
          <t>7.4.2 판례</t>
        </is>
      </c>
      <c r="D54" s="7" t="inlineStr">
        <is>
          <t>🟡 중요</t>
        </is>
      </c>
      <c r="E54" s="8" t="inlineStr">
        <is>
          <t>[검증필요]</t>
        </is>
      </c>
      <c r="F54" s="8" t="inlineStr"/>
      <c r="G54" s="8" t="inlineStr">
        <is>
          <t>제119조의2의 신설 시점은 미확인이라 판결과의 선후만 기재한다.</t>
        </is>
      </c>
      <c r="H54" s="8" t="inlineStr">
        <is>
          <t>07_재산세_부과징수.md L194</t>
        </is>
      </c>
      <c r="I54" s="4" t="inlineStr">
        <is>
          <t>미확인</t>
        </is>
      </c>
      <c r="J54" s="8" t="inlineStr"/>
      <c r="K54" s="8" t="inlineStr"/>
      <c r="L54" s="7" t="inlineStr"/>
      <c r="M54" s="9" t="inlineStr"/>
      <c r="N54" s="8" t="inlineStr"/>
      <c r="O54" s="10" t="inlineStr">
        <is>
          <t>7|L0191|1</t>
        </is>
      </c>
      <c r="P54" s="10" t="inlineStr">
        <is>
          <t>미확인</t>
        </is>
      </c>
    </row>
    <row r="55">
      <c r="A55" s="7" t="n">
        <v>54</v>
      </c>
      <c r="B55" s="7" t="n">
        <v>7</v>
      </c>
      <c r="C55" s="8" t="inlineStr">
        <is>
          <t>7.4.2 판례</t>
        </is>
      </c>
      <c r="D55" s="7" t="inlineStr">
        <is>
          <t>🟡 중요</t>
        </is>
      </c>
      <c r="E55" s="8" t="inlineStr">
        <is>
          <t>[검증필요]</t>
        </is>
      </c>
      <c r="F55" s="8" t="inlineStr"/>
      <c r="G55" s="8" t="inlineStr">
        <is>
          <t>사건번호·쟁점까지만 확인했고 판시 이유는 미취득이라 결론을 인용하지 않는다. 취소를 구할 것인가, 무효 확인과 부당이득반환을 구할 것인가도 선택의 문제다.</t>
        </is>
      </c>
      <c r="H55" s="8" t="inlineStr">
        <is>
          <t>07_재산세_부과징수.md L201</t>
        </is>
      </c>
      <c r="I55" s="4" t="inlineStr">
        <is>
          <t>미확인</t>
        </is>
      </c>
      <c r="J55" s="8" t="inlineStr"/>
      <c r="K55" s="8" t="inlineStr"/>
      <c r="L55" s="7" t="inlineStr"/>
      <c r="M55" s="9" t="inlineStr"/>
      <c r="N55" s="8" t="inlineStr"/>
      <c r="O55" s="10" t="inlineStr">
        <is>
          <t>7|L0194|1</t>
        </is>
      </c>
      <c r="P55" s="10" t="inlineStr">
        <is>
          <t>미확인</t>
        </is>
      </c>
    </row>
    <row r="56">
      <c r="A56" s="2" t="n">
        <v>55</v>
      </c>
      <c r="B56" s="2" t="n">
        <v>7</v>
      </c>
      <c r="C56" s="3" t="inlineStr">
        <is>
          <t>7.4.2 판례</t>
        </is>
      </c>
      <c r="D56" s="2" t="inlineStr">
        <is>
          <t>🟢 보완</t>
        </is>
      </c>
      <c r="E56" s="3" t="inlineStr">
        <is>
          <t>[검증필요]</t>
        </is>
      </c>
      <c r="F56" s="3" t="inlineStr"/>
      <c r="G56" s="3" t="inlineStr">
        <is>
          <t>이 사건군은 판시 요지 미취득·하급심 계속 중이므로 확정된 법리로 서술하지 않는다(→ 제6장). --- ## 7.5 자주 묻는 질문 **Q1. 재산세를 카드로 냈다.</t>
        </is>
      </c>
      <c r="H56" s="3" t="inlineStr">
        <is>
          <t>07_재산세_부과징수.md L211</t>
        </is>
      </c>
      <c r="I56" s="4" t="inlineStr">
        <is>
          <t>미확인</t>
        </is>
      </c>
      <c r="J56" s="3" t="inlineStr"/>
      <c r="K56" s="3" t="inlineStr"/>
      <c r="L56" s="2" t="inlineStr"/>
      <c r="M56" s="5" t="inlineStr"/>
      <c r="N56" s="3" t="inlineStr"/>
      <c r="O56" s="6" t="inlineStr">
        <is>
          <t>7|L0201|1</t>
        </is>
      </c>
      <c r="P56" s="6" t="inlineStr">
        <is>
          <t>미확인</t>
        </is>
      </c>
    </row>
    <row r="57">
      <c r="A57" s="11" t="n">
        <v>56</v>
      </c>
      <c r="B57" s="11" t="n">
        <v>7</v>
      </c>
      <c r="C57" s="12" t="inlineStr">
        <is>
          <t>7.5 자주 묻는 질문</t>
        </is>
      </c>
      <c r="D57" s="11" t="inlineStr">
        <is>
          <t>🔴 최우선</t>
        </is>
      </c>
      <c r="E57" s="12" t="inlineStr"/>
      <c r="F57" s="12" t="inlineStr"/>
      <c r="G57" s="12" t="inlineStr">
        <is>
          <t>제1항 제3호의 "대통령령으로 정하는 지방자치단체의 징수금" 범위와 「지방세특례제한법」 제92조의2 자동이체 세액공제의 금액·한도는 미조사다.</t>
        </is>
      </c>
      <c r="H57" s="12" t="inlineStr">
        <is>
          <t>(원고에서 마커 미발견)</t>
        </is>
      </c>
      <c r="I57" s="4" t="inlineStr">
        <is>
          <t>미확인</t>
        </is>
      </c>
      <c r="J57" s="12" t="inlineStr"/>
      <c r="K57" s="12" t="inlineStr"/>
      <c r="L57" s="11" t="inlineStr"/>
      <c r="M57" s="13" t="inlineStr"/>
      <c r="N57" s="12" t="inlineStr"/>
      <c r="O57" s="14" t="inlineStr">
        <is>
          <t>7|L0211|1</t>
        </is>
      </c>
      <c r="P57" s="14" t="inlineStr">
        <is>
          <t>미확인</t>
        </is>
      </c>
    </row>
    <row r="58">
      <c r="A58" s="2" t="n">
        <v>57</v>
      </c>
      <c r="B58" s="2" t="n">
        <v>8</v>
      </c>
      <c r="C58" s="3" t="inlineStr">
        <is>
          <t>8.2.3 ★ 「주택 수」는 하나가 아니라 두 트랙이다</t>
        </is>
      </c>
      <c r="D58" s="2" t="inlineStr">
        <is>
          <t>🟢 보완</t>
        </is>
      </c>
      <c r="E58" s="3" t="inlineStr">
        <is>
          <t>[검증필요 — 조심2022서6437 결정문 원문 미확보]</t>
        </is>
      </c>
      <c r="F58" s="3" t="inlineStr">
        <is>
          <t>조심2022서6437</t>
        </is>
      </c>
      <c r="G58" s="3" t="inlineStr">
        <is>
          <t>조심2022서6437 결정문 원문 미확보</t>
        </is>
      </c>
      <c r="H58" s="3" t="inlineStr">
        <is>
          <t>08_종부세_구조와_납세의무자.md L52</t>
        </is>
      </c>
      <c r="I58" s="4" t="inlineStr">
        <is>
          <t>미확인</t>
        </is>
      </c>
      <c r="J58" s="3" t="inlineStr"/>
      <c r="K58" s="3" t="inlineStr"/>
      <c r="L58" s="2" t="inlineStr"/>
      <c r="M58" s="5" t="inlineStr"/>
      <c r="N58" s="3" t="inlineStr"/>
      <c r="O58" s="6" t="inlineStr">
        <is>
          <t>8|L0052|1</t>
        </is>
      </c>
      <c r="P58" s="6" t="inlineStr">
        <is>
          <t>미확인</t>
        </is>
      </c>
    </row>
    <row r="59">
      <c r="A59" s="2" t="n">
        <v>58</v>
      </c>
      <c r="B59" s="2" t="n">
        <v>8</v>
      </c>
      <c r="C59" s="3" t="inlineStr">
        <is>
          <t>8.3.1 납세의무자 판정</t>
        </is>
      </c>
      <c r="D59" s="2" t="inlineStr">
        <is>
          <t>🟢 보완</t>
        </is>
      </c>
      <c r="E59" s="3" t="inlineStr">
        <is>
          <t>[검증필요 — 순위 규정 미확인]</t>
        </is>
      </c>
      <c r="F59" s="3" t="inlineStr"/>
      <c r="G59" s="3" t="inlineStr">
        <is>
          <t>순위 규정 미확인</t>
        </is>
      </c>
      <c r="H59" s="3" t="inlineStr">
        <is>
          <t>08_종부세_구조와_납세의무자.md L66</t>
        </is>
      </c>
      <c r="I59" s="4" t="inlineStr">
        <is>
          <t>미확인</t>
        </is>
      </c>
      <c r="J59" s="3" t="inlineStr"/>
      <c r="K59" s="3" t="inlineStr"/>
      <c r="L59" s="2" t="inlineStr"/>
      <c r="M59" s="5" t="inlineStr"/>
      <c r="N59" s="3" t="inlineStr"/>
      <c r="O59" s="6" t="inlineStr">
        <is>
          <t>8|L0066|1</t>
        </is>
      </c>
      <c r="P59" s="6" t="inlineStr">
        <is>
          <t>미확인</t>
        </is>
      </c>
    </row>
    <row r="60">
      <c r="A60" s="2" t="n">
        <v>59</v>
      </c>
      <c r="B60" s="2" t="n">
        <v>8</v>
      </c>
      <c r="C60" s="3" t="inlineStr">
        <is>
          <t>8.3.1 납세의무자 판정</t>
        </is>
      </c>
      <c r="D60" s="2" t="inlineStr">
        <is>
          <t>🟢 보완</t>
        </is>
      </c>
      <c r="E60" s="3" t="inlineStr">
        <is>
          <t>[검증필요 — 95누17052 DB 텍스트 혼입, 원문 대조]</t>
        </is>
      </c>
      <c r="F60" s="3" t="inlineStr"/>
      <c r="G60" s="3" t="inlineStr">
        <is>
          <t>95누17052 DB 텍스트 혼입, 원문 대조</t>
        </is>
      </c>
      <c r="H60" s="3" t="inlineStr">
        <is>
          <t>08_종부세_구조와_납세의무자.md L71</t>
        </is>
      </c>
      <c r="I60" s="4" t="inlineStr">
        <is>
          <t>미확인</t>
        </is>
      </c>
      <c r="J60" s="3" t="inlineStr"/>
      <c r="K60" s="3" t="inlineStr"/>
      <c r="L60" s="2" t="inlineStr"/>
      <c r="M60" s="5" t="inlineStr"/>
      <c r="N60" s="3" t="inlineStr"/>
      <c r="O60" s="6" t="inlineStr">
        <is>
          <t>8|L0071|1</t>
        </is>
      </c>
      <c r="P60" s="6" t="inlineStr">
        <is>
          <t>미확인</t>
        </is>
      </c>
    </row>
    <row r="61">
      <c r="A61" s="7" t="n">
        <v>60</v>
      </c>
      <c r="B61" s="7" t="n">
        <v>8</v>
      </c>
      <c r="C61" s="8" t="inlineStr">
        <is>
          <t>8.3.2 신탁재산</t>
        </is>
      </c>
      <c r="D61" s="7" t="inlineStr">
        <is>
          <t>🟡 중요</t>
        </is>
      </c>
      <c r="E61" s="8" t="inlineStr">
        <is>
          <t>[검증필요 — 법 제7조의2·제12조의2 조문 전문 미확보]</t>
        </is>
      </c>
      <c r="F61" s="8" t="inlineStr">
        <is>
          <t>법 제7조의2</t>
        </is>
      </c>
      <c r="G61" s="8" t="inlineStr">
        <is>
          <t>법 제7조의2·제12조의2 조문 전문 미확보</t>
        </is>
      </c>
      <c r="H61" s="8" t="inlineStr">
        <is>
          <t>08_종부세_구조와_납세의무자.md L85</t>
        </is>
      </c>
      <c r="I61" s="4" t="inlineStr">
        <is>
          <t>미확인</t>
        </is>
      </c>
      <c r="J61" s="8" t="inlineStr"/>
      <c r="K61" s="8" t="inlineStr"/>
      <c r="L61" s="7" t="inlineStr"/>
      <c r="M61" s="9" t="inlineStr"/>
      <c r="N61" s="8" t="inlineStr"/>
      <c r="O61" s="10" t="inlineStr">
        <is>
          <t>8|L0085|1</t>
        </is>
      </c>
      <c r="P61" s="10" t="inlineStr">
        <is>
          <t>미확인</t>
        </is>
      </c>
    </row>
    <row r="62">
      <c r="A62" s="2" t="n">
        <v>61</v>
      </c>
      <c r="B62" s="2" t="n">
        <v>8</v>
      </c>
      <c r="C62" s="3" t="inlineStr">
        <is>
          <t>8.3.2 신탁재산</t>
        </is>
      </c>
      <c r="D62" s="2" t="inlineStr">
        <is>
          <t>🟢 보완</t>
        </is>
      </c>
      <c r="E62" s="3" t="inlineStr">
        <is>
          <t>[검증필요 — 조세심판원 결정문 원문 미확보]</t>
        </is>
      </c>
      <c r="F62" s="3" t="inlineStr"/>
      <c r="G62" s="3" t="inlineStr">
        <is>
          <t>조세심판원 결정문 원문 미확보</t>
        </is>
      </c>
      <c r="H62" s="3" t="inlineStr">
        <is>
          <t>08_종부세_구조와_납세의무자.md L87</t>
        </is>
      </c>
      <c r="I62" s="4" t="inlineStr">
        <is>
          <t>미확인</t>
        </is>
      </c>
      <c r="J62" s="3" t="inlineStr"/>
      <c r="K62" s="3" t="inlineStr"/>
      <c r="L62" s="2" t="inlineStr"/>
      <c r="M62" s="5" t="inlineStr"/>
      <c r="N62" s="3" t="inlineStr"/>
      <c r="O62" s="6" t="inlineStr">
        <is>
          <t>8|L0087|1</t>
        </is>
      </c>
      <c r="P62" s="6" t="inlineStr">
        <is>
          <t>미확인</t>
        </is>
      </c>
    </row>
    <row r="63">
      <c r="A63" s="2" t="n">
        <v>62</v>
      </c>
      <c r="B63" s="2" t="n">
        <v>8</v>
      </c>
      <c r="C63" s="3" t="inlineStr">
        <is>
          <t>8.4.2 헌법재판소 2008. 11. 13. 선고 2006헌바112 등 결정</t>
        </is>
      </c>
      <c r="D63" s="2" t="inlineStr">
        <is>
          <t>🟢 보완</t>
        </is>
      </c>
      <c r="E63" s="3" t="inlineStr">
        <is>
          <t>[검증필요 — 후속 결정 다수, 개별 사건 미확인]</t>
        </is>
      </c>
      <c r="F63" s="3" t="inlineStr"/>
      <c r="G63" s="3" t="inlineStr">
        <is>
          <t>후속 결정 다수, 개별 사건 미확인</t>
        </is>
      </c>
      <c r="H63" s="3" t="inlineStr">
        <is>
          <t>08_종부세_구조와_납세의무자.md L145</t>
        </is>
      </c>
      <c r="I63" s="4" t="inlineStr">
        <is>
          <t>미확인</t>
        </is>
      </c>
      <c r="J63" s="3" t="inlineStr"/>
      <c r="K63" s="3" t="inlineStr"/>
      <c r="L63" s="2" t="inlineStr"/>
      <c r="M63" s="5" t="inlineStr"/>
      <c r="N63" s="3" t="inlineStr"/>
      <c r="O63" s="6" t="inlineStr">
        <is>
          <t>8|L0145|1</t>
        </is>
      </c>
      <c r="P63" s="6" t="inlineStr">
        <is>
          <t>미확인</t>
        </is>
      </c>
    </row>
    <row r="64">
      <c r="A64" s="2" t="n">
        <v>63</v>
      </c>
      <c r="B64" s="2" t="n">
        <v>8</v>
      </c>
      <c r="C64" s="3" t="inlineStr">
        <is>
          <t>8.4.3 함께 읽어야 할 판례</t>
        </is>
      </c>
      <c r="D64" s="2" t="inlineStr">
        <is>
          <t>🟢 보완</t>
        </is>
      </c>
      <c r="E64" s="3" t="inlineStr">
        <is>
          <t>[검증필요 — 2024두30281 원심 이유 원문 대조]</t>
        </is>
      </c>
      <c r="F64" s="3" t="inlineStr">
        <is>
          <t>2024두30281</t>
        </is>
      </c>
      <c r="G64" s="3" t="inlineStr">
        <is>
          <t>2024두30281 원심 이유 원문 대조</t>
        </is>
      </c>
      <c r="H64" s="3" t="inlineStr">
        <is>
          <t>08_종부세_구조와_납세의무자.md L149</t>
        </is>
      </c>
      <c r="I64" s="4" t="inlineStr">
        <is>
          <t>미확인</t>
        </is>
      </c>
      <c r="J64" s="3" t="inlineStr"/>
      <c r="K64" s="3" t="inlineStr"/>
      <c r="L64" s="2" t="inlineStr"/>
      <c r="M64" s="5" t="inlineStr"/>
      <c r="N64" s="3" t="inlineStr"/>
      <c r="O64" s="6" t="inlineStr">
        <is>
          <t>8|L0149|1</t>
        </is>
      </c>
      <c r="P64" s="6" t="inlineStr">
        <is>
          <t>미확인</t>
        </is>
      </c>
    </row>
    <row r="65">
      <c r="A65" s="2" t="n">
        <v>64</v>
      </c>
      <c r="B65" s="2" t="n">
        <v>8</v>
      </c>
      <c r="C65" s="3" t="inlineStr">
        <is>
          <t>8.4.3 함께 읽어야 할 판례</t>
        </is>
      </c>
      <c r="D65" s="2" t="inlineStr">
        <is>
          <t>🟢 보완</t>
        </is>
      </c>
      <c r="E65" s="3" t="inlineStr">
        <is>
          <t>[검증필요 — 공유 판례 미확보]</t>
        </is>
      </c>
      <c r="F65" s="3" t="inlineStr"/>
      <c r="G65" s="3" t="inlineStr">
        <is>
          <t>공유 판례 미확보</t>
        </is>
      </c>
      <c r="H65" s="3" t="inlineStr">
        <is>
          <t>08_종부세_구조와_납세의무자.md L149</t>
        </is>
      </c>
      <c r="I65" s="4" t="inlineStr">
        <is>
          <t>미확인</t>
        </is>
      </c>
      <c r="J65" s="3" t="inlineStr"/>
      <c r="K65" s="3" t="inlineStr"/>
      <c r="L65" s="2" t="inlineStr"/>
      <c r="M65" s="5" t="inlineStr"/>
      <c r="N65" s="3" t="inlineStr"/>
      <c r="O65" s="6" t="inlineStr">
        <is>
          <t>8|L0149|2</t>
        </is>
      </c>
      <c r="P65" s="6" t="inlineStr">
        <is>
          <t>미확인</t>
        </is>
      </c>
    </row>
    <row r="66">
      <c r="A66" s="2" t="n">
        <v>65</v>
      </c>
      <c r="B66" s="2" t="n">
        <v>9</v>
      </c>
      <c r="C66" s="3" t="inlineStr">
        <is>
          <t>9.2.2 1세대 1주택자</t>
        </is>
      </c>
      <c r="D66" s="2" t="inlineStr">
        <is>
          <t>🟢 보완</t>
        </is>
      </c>
      <c r="E66" s="3" t="inlineStr">
        <is>
          <t>[검증필요 — 지방 저가주택 지정지역 고시 미조회]</t>
        </is>
      </c>
      <c r="F66" s="3" t="inlineStr"/>
      <c r="G66" s="3" t="inlineStr">
        <is>
          <t>지방 저가주택 지정지역 고시 미조회</t>
        </is>
      </c>
      <c r="H66" s="3" t="inlineStr">
        <is>
          <t>09_주택수_1세대1주택.md L42</t>
        </is>
      </c>
      <c r="I66" s="4" t="inlineStr">
        <is>
          <t>미확인</t>
        </is>
      </c>
      <c r="J66" s="3" t="inlineStr"/>
      <c r="K66" s="3" t="inlineStr"/>
      <c r="L66" s="2" t="inlineStr"/>
      <c r="M66" s="5" t="inlineStr"/>
      <c r="N66" s="3" t="inlineStr"/>
      <c r="O66" s="6" t="inlineStr">
        <is>
          <t>9|L0042|1</t>
        </is>
      </c>
      <c r="P66" s="6" t="inlineStr">
        <is>
          <t>미확인</t>
        </is>
      </c>
    </row>
    <row r="67">
      <c r="A67" s="7" t="n">
        <v>66</v>
      </c>
      <c r="B67" s="7" t="n">
        <v>9</v>
      </c>
      <c r="C67" s="8" t="inlineStr">
        <is>
          <t>9.2.3 ★ 두 트랙의 제외 목록이 다르다</t>
        </is>
      </c>
      <c r="D67" s="7" t="inlineStr">
        <is>
          <t>🟡 중요</t>
        </is>
      </c>
      <c r="E67" s="8" t="inlineStr">
        <is>
          <t>[검증필요 — 바목의 부령 요건 미조회]</t>
        </is>
      </c>
      <c r="F67" s="8" t="inlineStr"/>
      <c r="G67" s="8" t="inlineStr">
        <is>
          <t>바목의 부령 요건 미조회</t>
        </is>
      </c>
      <c r="H67" s="8" t="inlineStr">
        <is>
          <t>09_주택수_1세대1주택.md L58</t>
        </is>
      </c>
      <c r="I67" s="4" t="inlineStr">
        <is>
          <t>미확인</t>
        </is>
      </c>
      <c r="J67" s="8" t="inlineStr"/>
      <c r="K67" s="8" t="inlineStr"/>
      <c r="L67" s="7" t="inlineStr"/>
      <c r="M67" s="9" t="inlineStr"/>
      <c r="N67" s="8" t="inlineStr"/>
      <c r="O67" s="10" t="inlineStr">
        <is>
          <t>9|L0058|1</t>
        </is>
      </c>
      <c r="P67" s="10" t="inlineStr">
        <is>
          <t>미확인</t>
        </is>
      </c>
    </row>
    <row r="68">
      <c r="A68" s="7" t="n">
        <v>67</v>
      </c>
      <c r="B68" s="7" t="n">
        <v>9</v>
      </c>
      <c r="C68" s="8" t="inlineStr">
        <is>
          <t>9.3.1 판정의 다섯 단계와 쟁점 물건</t>
        </is>
      </c>
      <c r="D68" s="7" t="inlineStr">
        <is>
          <t>🟡 중요</t>
        </is>
      </c>
      <c r="E68" s="8" t="inlineStr">
        <is>
          <t>[검증필요 — §106③ 단서의 대통령령 요건 미조회]</t>
        </is>
      </c>
      <c r="F68" s="8" t="inlineStr">
        <is>
          <t>§106③</t>
        </is>
      </c>
      <c r="G68" s="8" t="inlineStr">
        <is>
          <t>§106③ 단서의 대통령령 요건 미조회</t>
        </is>
      </c>
      <c r="H68" s="8" t="inlineStr">
        <is>
          <t>09_주택수_1세대1주택.md L75</t>
        </is>
      </c>
      <c r="I68" s="4" t="inlineStr">
        <is>
          <t>미확인</t>
        </is>
      </c>
      <c r="J68" s="8" t="inlineStr"/>
      <c r="K68" s="8" t="inlineStr"/>
      <c r="L68" s="7" t="inlineStr"/>
      <c r="M68" s="9" t="inlineStr"/>
      <c r="N68" s="8" t="inlineStr"/>
      <c r="O68" s="10" t="inlineStr">
        <is>
          <t>9|L0075|1</t>
        </is>
      </c>
      <c r="P68" s="10" t="inlineStr">
        <is>
          <t>미확인</t>
        </is>
      </c>
    </row>
    <row r="69">
      <c r="A69" s="2" t="n">
        <v>68</v>
      </c>
      <c r="B69" s="2" t="n">
        <v>9</v>
      </c>
      <c r="C69" s="3" t="inlineStr">
        <is>
          <t>9.3.1 판정의 다섯 단계와 쟁점 물건</t>
        </is>
      </c>
      <c r="D69" s="2" t="inlineStr">
        <is>
          <t>🟢 보완</t>
        </is>
      </c>
      <c r="E69" s="3" t="inlineStr">
        <is>
          <t>[검증필요 — 대법원 2010두23910 판결 이유 미확보]</t>
        </is>
      </c>
      <c r="F69" s="3" t="inlineStr">
        <is>
          <t>2010두23910</t>
        </is>
      </c>
      <c r="G69" s="3" t="inlineStr">
        <is>
          <t>대법원 2010두23910 판결 이유 미확보</t>
        </is>
      </c>
      <c r="H69" s="3" t="inlineStr">
        <is>
          <t>09_주택수_1세대1주택.md L75</t>
        </is>
      </c>
      <c r="I69" s="4" t="inlineStr">
        <is>
          <t>미확인</t>
        </is>
      </c>
      <c r="J69" s="3" t="inlineStr"/>
      <c r="K69" s="3" t="inlineStr"/>
      <c r="L69" s="2" t="inlineStr"/>
      <c r="M69" s="5" t="inlineStr"/>
      <c r="N69" s="3" t="inlineStr"/>
      <c r="O69" s="6" t="inlineStr">
        <is>
          <t>9|L0075|2</t>
        </is>
      </c>
      <c r="P69" s="6" t="inlineStr">
        <is>
          <t>미확인</t>
        </is>
      </c>
    </row>
    <row r="70">
      <c r="A70" s="2" t="n">
        <v>69</v>
      </c>
      <c r="B70" s="2" t="n">
        <v>9</v>
      </c>
      <c r="C70" s="3" t="inlineStr">
        <is>
          <t>9.3.2 신청과 사후 추징</t>
        </is>
      </c>
      <c r="D70" s="2" t="inlineStr">
        <is>
          <t>🟢 보완</t>
        </is>
      </c>
      <c r="E70" s="3" t="inlineStr">
        <is>
          <t>[검증필요 — 신청 기한의 법적 성격 및 도과 시 구제 판례 미확보]</t>
        </is>
      </c>
      <c r="F70" s="3" t="inlineStr"/>
      <c r="G70" s="3" t="inlineStr">
        <is>
          <t>신청 기한의 법적 성격 및 도과 시 구제 판례 미확보</t>
        </is>
      </c>
      <c r="H70" s="3" t="inlineStr">
        <is>
          <t>09_주택수_1세대1주택.md L88</t>
        </is>
      </c>
      <c r="I70" s="4" t="inlineStr">
        <is>
          <t>미확인</t>
        </is>
      </c>
      <c r="J70" s="3" t="inlineStr"/>
      <c r="K70" s="3" t="inlineStr"/>
      <c r="L70" s="2" t="inlineStr"/>
      <c r="M70" s="5" t="inlineStr"/>
      <c r="N70" s="3" t="inlineStr"/>
      <c r="O70" s="6" t="inlineStr">
        <is>
          <t>9|L0088|1</t>
        </is>
      </c>
      <c r="P70" s="6" t="inlineStr">
        <is>
          <t>미확인</t>
        </is>
      </c>
    </row>
    <row r="71">
      <c r="A71" s="7" t="n">
        <v>70</v>
      </c>
      <c r="B71" s="7" t="n">
        <v>9</v>
      </c>
      <c r="C71" s="8" t="inlineStr">
        <is>
          <t>9.3.2 신청과 사후 추징</t>
        </is>
      </c>
      <c r="D71" s="7" t="inlineStr">
        <is>
          <t>🟡 중요</t>
        </is>
      </c>
      <c r="E71" s="8" t="inlineStr">
        <is>
          <t>[검증필요 — 「국세기본법」 제45조의2 원문 미취득, 청구기간 서술 보류]</t>
        </is>
      </c>
      <c r="F71" s="8" t="inlineStr"/>
      <c r="G71" s="8" t="inlineStr">
        <is>
          <t>「국세기본법」 제45조의2 원문 미취득, 청구기간 서술 보류</t>
        </is>
      </c>
      <c r="H71" s="8" t="inlineStr">
        <is>
          <t>09_주택수_1세대1주택.md L88</t>
        </is>
      </c>
      <c r="I71" s="4" t="inlineStr">
        <is>
          <t>미확인</t>
        </is>
      </c>
      <c r="J71" s="8" t="inlineStr"/>
      <c r="K71" s="8" t="inlineStr"/>
      <c r="L71" s="7" t="inlineStr"/>
      <c r="M71" s="9" t="inlineStr"/>
      <c r="N71" s="8" t="inlineStr"/>
      <c r="O71" s="10" t="inlineStr">
        <is>
          <t>9|L0088|2</t>
        </is>
      </c>
      <c r="P71" s="10" t="inlineStr">
        <is>
          <t>미확인</t>
        </is>
      </c>
    </row>
    <row r="72">
      <c r="A72" s="2" t="n">
        <v>71</v>
      </c>
      <c r="B72" s="2" t="n">
        <v>9</v>
      </c>
      <c r="C72" s="3" t="inlineStr">
        <is>
          <t>9.4.3 함께 읽을 판단들</t>
        </is>
      </c>
      <c r="D72" s="2" t="inlineStr">
        <is>
          <t>🟢 보완</t>
        </is>
      </c>
      <c r="E72" s="3" t="inlineStr">
        <is>
          <t>[검증필요 — 조심2022서6437 결정문 원문 대조]</t>
        </is>
      </c>
      <c r="F72" s="3" t="inlineStr">
        <is>
          <t>조심2022서6437</t>
        </is>
      </c>
      <c r="G72" s="3" t="inlineStr">
        <is>
          <t>조심2022서6437 결정문 원문 대조</t>
        </is>
      </c>
      <c r="H72" s="3" t="inlineStr">
        <is>
          <t>09_주택수_1세대1주택.md L134</t>
        </is>
      </c>
      <c r="I72" s="4" t="inlineStr">
        <is>
          <t>미확인</t>
        </is>
      </c>
      <c r="J72" s="3" t="inlineStr"/>
      <c r="K72" s="3" t="inlineStr"/>
      <c r="L72" s="2" t="inlineStr"/>
      <c r="M72" s="5" t="inlineStr"/>
      <c r="N72" s="3" t="inlineStr"/>
      <c r="O72" s="6" t="inlineStr">
        <is>
          <t>9|L0134|1</t>
        </is>
      </c>
      <c r="P72" s="6" t="inlineStr">
        <is>
          <t>미확인</t>
        </is>
      </c>
    </row>
    <row r="73">
      <c r="A73" s="2" t="n">
        <v>72</v>
      </c>
      <c r="B73" s="2" t="n">
        <v>9</v>
      </c>
      <c r="C73" s="3" t="inlineStr">
        <is>
          <t>9.4.3 함께 읽을 판단들</t>
        </is>
      </c>
      <c r="D73" s="2" t="inlineStr">
        <is>
          <t>🟢 보완</t>
        </is>
      </c>
      <c r="E73" s="3" t="inlineStr">
        <is>
          <t>[검증필요 — 2024두30281 원심 이유 원문 대조]</t>
        </is>
      </c>
      <c r="F73" s="3" t="inlineStr">
        <is>
          <t>2024두30281</t>
        </is>
      </c>
      <c r="G73" s="3" t="inlineStr">
        <is>
          <t>2024두30281 원심 이유 원문 대조</t>
        </is>
      </c>
      <c r="H73" s="3" t="inlineStr">
        <is>
          <t>09_주택수_1세대1주택.md L136</t>
        </is>
      </c>
      <c r="I73" s="4" t="inlineStr">
        <is>
          <t>미확인</t>
        </is>
      </c>
      <c r="J73" s="3" t="inlineStr"/>
      <c r="K73" s="3" t="inlineStr"/>
      <c r="L73" s="2" t="inlineStr"/>
      <c r="M73" s="5" t="inlineStr"/>
      <c r="N73" s="3" t="inlineStr"/>
      <c r="O73" s="6" t="inlineStr">
        <is>
          <t>9|L0136|1</t>
        </is>
      </c>
      <c r="P73" s="6" t="inlineStr">
        <is>
          <t>미확인</t>
        </is>
      </c>
    </row>
    <row r="74">
      <c r="A74" s="2" t="n">
        <v>73</v>
      </c>
      <c r="B74" s="2" t="n">
        <v>9</v>
      </c>
      <c r="C74" s="3" t="inlineStr">
        <is>
          <t>9.4.3 함께 읽을 판단들</t>
        </is>
      </c>
      <c r="D74" s="2" t="inlineStr">
        <is>
          <t>🟢 보완</t>
        </is>
      </c>
      <c r="E74" s="3" t="inlineStr">
        <is>
          <t>[검증필요 — 다가구주택 관련 종부세 사건 미확보]</t>
        </is>
      </c>
      <c r="F74" s="3" t="inlineStr"/>
      <c r="G74" s="3" t="inlineStr">
        <is>
          <t>다가구주택 관련 종부세 사건 미확보</t>
        </is>
      </c>
      <c r="H74" s="3" t="inlineStr">
        <is>
          <t>09_주택수_1세대1주택.md L136</t>
        </is>
      </c>
      <c r="I74" s="4" t="inlineStr">
        <is>
          <t>미확인</t>
        </is>
      </c>
      <c r="J74" s="3" t="inlineStr"/>
      <c r="K74" s="3" t="inlineStr"/>
      <c r="L74" s="2" t="inlineStr"/>
      <c r="M74" s="5" t="inlineStr"/>
      <c r="N74" s="3" t="inlineStr"/>
      <c r="O74" s="6" t="inlineStr">
        <is>
          <t>9|L0136|2</t>
        </is>
      </c>
      <c r="P74" s="6" t="inlineStr">
        <is>
          <t>미확인</t>
        </is>
      </c>
    </row>
    <row r="75">
      <c r="A75" s="2" t="n">
        <v>74</v>
      </c>
      <c r="B75" s="2" t="n">
        <v>10</v>
      </c>
      <c r="C75" s="3" t="inlineStr">
        <is>
          <t>10.2-2 현재 신규 진입이 열려 있는 유형</t>
        </is>
      </c>
      <c r="D75" s="2" t="inlineStr">
        <is>
          <t>🟢 보완</t>
        </is>
      </c>
      <c r="E75" s="3" t="inlineStr">
        <is>
          <t>[검증필요 — 령 §3①8호 나목 3)·4) 원문 절단]</t>
        </is>
      </c>
      <c r="F75" s="3" t="inlineStr">
        <is>
          <t>§3①8호</t>
        </is>
      </c>
      <c r="G75" s="3" t="inlineStr">
        <is>
          <t>령 §3①8호 나목 3)·4) 원문 절단</t>
        </is>
      </c>
      <c r="H75" s="3" t="inlineStr">
        <is>
          <t>10_합산배제.md L40</t>
        </is>
      </c>
      <c r="I75" s="4" t="inlineStr">
        <is>
          <t>미확인</t>
        </is>
      </c>
      <c r="J75" s="3" t="inlineStr"/>
      <c r="K75" s="3" t="inlineStr"/>
      <c r="L75" s="2" t="inlineStr"/>
      <c r="M75" s="5" t="inlineStr"/>
      <c r="N75" s="3" t="inlineStr"/>
      <c r="O75" s="6" t="inlineStr">
        <is>
          <t>10|L0040|1</t>
        </is>
      </c>
      <c r="P75" s="6" t="inlineStr">
        <is>
          <t>미확인</t>
        </is>
      </c>
    </row>
    <row r="76">
      <c r="A76" s="2" t="n">
        <v>75</v>
      </c>
      <c r="B76" s="2" t="n">
        <v>10</v>
      </c>
      <c r="C76" s="3" t="inlineStr">
        <is>
          <t>10.2-2 현재 신규 진입이 열려 있는 유형</t>
        </is>
      </c>
      <c r="D76" s="2" t="inlineStr">
        <is>
          <t>🟢 보완</t>
        </is>
      </c>
      <c r="E76" s="3" t="inlineStr">
        <is>
          <t>[검증필요 — 6년 단기민간임대주택 시행 현황]</t>
        </is>
      </c>
      <c r="F76" s="3" t="inlineStr"/>
      <c r="G76" s="3" t="inlineStr">
        <is>
          <t>6년 단기민간임대주택 시행 현황</t>
        </is>
      </c>
      <c r="H76" s="3" t="inlineStr">
        <is>
          <t>10_합산배제.md L40</t>
        </is>
      </c>
      <c r="I76" s="4" t="inlineStr">
        <is>
          <t>미확인</t>
        </is>
      </c>
      <c r="J76" s="3" t="inlineStr"/>
      <c r="K76" s="3" t="inlineStr"/>
      <c r="L76" s="2" t="inlineStr"/>
      <c r="M76" s="5" t="inlineStr"/>
      <c r="N76" s="3" t="inlineStr"/>
      <c r="O76" s="6" t="inlineStr">
        <is>
          <t>10|L0040|2</t>
        </is>
      </c>
      <c r="P76" s="6" t="inlineStr">
        <is>
          <t>미확인</t>
        </is>
      </c>
    </row>
    <row r="77">
      <c r="A77" s="7" t="n">
        <v>76</v>
      </c>
      <c r="B77" s="7" t="n">
        <v>10</v>
      </c>
      <c r="C77" s="8" t="inlineStr">
        <is>
          <t>10.2-4 사원용주택등</t>
        </is>
      </c>
      <c r="D77" s="7" t="inlineStr">
        <is>
          <t>🟡 중요</t>
        </is>
      </c>
      <c r="E77" s="8" t="inlineStr">
        <is>
          <t>[검증필요 — 령 §4①3호 「미분양 주택」 위임 부령 미조회]</t>
        </is>
      </c>
      <c r="F77" s="8" t="inlineStr">
        <is>
          <t>§4①3호</t>
        </is>
      </c>
      <c r="G77" s="8" t="inlineStr">
        <is>
          <t>령 §4①3호 「미분양 주택」 위임 부령 미조회</t>
        </is>
      </c>
      <c r="H77" s="8" t="inlineStr">
        <is>
          <t>10_합산배제.md L60</t>
        </is>
      </c>
      <c r="I77" s="4" t="inlineStr">
        <is>
          <t>미확인</t>
        </is>
      </c>
      <c r="J77" s="8" t="inlineStr"/>
      <c r="K77" s="8" t="inlineStr"/>
      <c r="L77" s="7" t="inlineStr"/>
      <c r="M77" s="9" t="inlineStr"/>
      <c r="N77" s="8" t="inlineStr"/>
      <c r="O77" s="10" t="inlineStr">
        <is>
          <t>10|L0060|1</t>
        </is>
      </c>
      <c r="P77" s="10" t="inlineStr">
        <is>
          <t>미확인</t>
        </is>
      </c>
    </row>
    <row r="78">
      <c r="A78" s="7" t="n">
        <v>77</v>
      </c>
      <c r="B78" s="7" t="n">
        <v>10</v>
      </c>
      <c r="C78" s="8" t="inlineStr">
        <is>
          <t>10.2-4 사원용주택등</t>
        </is>
      </c>
      <c r="D78" s="7" t="inlineStr">
        <is>
          <t>🟡 중요</t>
        </is>
      </c>
      <c r="E78" s="8" t="inlineStr">
        <is>
          <t>[검증필요 — 부령 명칭 통일]</t>
        </is>
      </c>
      <c r="F78" s="8" t="inlineStr"/>
      <c r="G78" s="8" t="inlineStr">
        <is>
          <t>부령 명칭 통일</t>
        </is>
      </c>
      <c r="H78" s="8" t="inlineStr">
        <is>
          <t>10_합산배제.md L62</t>
        </is>
      </c>
      <c r="I78" s="4" t="inlineStr">
        <is>
          <t>미확인</t>
        </is>
      </c>
      <c r="J78" s="8" t="inlineStr"/>
      <c r="K78" s="8" t="inlineStr"/>
      <c r="L78" s="7" t="inlineStr"/>
      <c r="M78" s="9" t="inlineStr"/>
      <c r="N78" s="8" t="inlineStr"/>
      <c r="O78" s="10" t="inlineStr">
        <is>
          <t>10|L0062|1</t>
        </is>
      </c>
      <c r="P78" s="10" t="inlineStr">
        <is>
          <t>미확인</t>
        </is>
      </c>
    </row>
    <row r="79">
      <c r="A79" s="11" t="n">
        <v>78</v>
      </c>
      <c r="B79" s="11" t="n">
        <v>10</v>
      </c>
      <c r="C79" s="12" t="inlineStr">
        <is>
          <t>10.4-4 판례의 흐름</t>
        </is>
      </c>
      <c r="D79" s="11" t="inlineStr">
        <is>
          <t>🔴 최우선</t>
        </is>
      </c>
      <c r="E79" s="12" t="inlineStr">
        <is>
          <t>[검증필요 — 미신고 시 경정청구 가부]</t>
        </is>
      </c>
      <c r="F79" s="12" t="inlineStr"/>
      <c r="G79" s="12" t="inlineStr">
        <is>
          <t>미신고 시 경정청구 가부</t>
        </is>
      </c>
      <c r="H79" s="12" t="inlineStr">
        <is>
          <t>10_합산배제.md L153</t>
        </is>
      </c>
      <c r="I79" s="4" t="inlineStr">
        <is>
          <t>미확인</t>
        </is>
      </c>
      <c r="J79" s="12" t="inlineStr"/>
      <c r="K79" s="12" t="inlineStr"/>
      <c r="L79" s="11" t="inlineStr"/>
      <c r="M79" s="13" t="inlineStr"/>
      <c r="N79" s="12" t="inlineStr"/>
      <c r="O79" s="14" t="inlineStr">
        <is>
          <t>10|L0153|1</t>
        </is>
      </c>
      <c r="P79" s="14" t="inlineStr">
        <is>
          <t>미확인</t>
        </is>
      </c>
    </row>
    <row r="80">
      <c r="A80" s="2" t="n">
        <v>79</v>
      </c>
      <c r="B80" s="2" t="n">
        <v>10</v>
      </c>
      <c r="C80" s="3" t="inlineStr">
        <is>
          <t>10.4-4 판례의 흐름</t>
        </is>
      </c>
      <c r="D80" s="2" t="inlineStr">
        <is>
          <t>🟢 보완</t>
        </is>
      </c>
      <c r="E80" s="3" t="inlineStr">
        <is>
          <t>[검증필요 — 판결·결정문 본문 대조]</t>
        </is>
      </c>
      <c r="F80" s="3" t="inlineStr"/>
      <c r="G80" s="3" t="inlineStr">
        <is>
          <t>판결·결정문 본문 대조</t>
        </is>
      </c>
      <c r="H80" s="3" t="inlineStr">
        <is>
          <t>10_합산배제.md L155</t>
        </is>
      </c>
      <c r="I80" s="4" t="inlineStr">
        <is>
          <t>미확인</t>
        </is>
      </c>
      <c r="J80" s="3" t="inlineStr"/>
      <c r="K80" s="3" t="inlineStr"/>
      <c r="L80" s="2" t="inlineStr"/>
      <c r="M80" s="5" t="inlineStr"/>
      <c r="N80" s="3" t="inlineStr"/>
      <c r="O80" s="6" t="inlineStr">
        <is>
          <t>10|L0155|1</t>
        </is>
      </c>
      <c r="P80" s="6" t="inlineStr">
        <is>
          <t>미확인</t>
        </is>
      </c>
    </row>
    <row r="81">
      <c r="A81" s="2" t="n">
        <v>80</v>
      </c>
      <c r="B81" s="2" t="n">
        <v>11</v>
      </c>
      <c r="C81" s="3" t="inlineStr">
        <is>
          <t>11.4-1 계산 사례</t>
        </is>
      </c>
      <c r="D81" s="2" t="inlineStr">
        <is>
          <t>🟢 보완</t>
        </is>
      </c>
      <c r="E81" s="3" t="inlineStr">
        <is>
          <t>[검증필요 — 국회 제출·통과 여부 재확인]</t>
        </is>
      </c>
      <c r="F81" s="3" t="inlineStr"/>
      <c r="G81" s="3" t="inlineStr">
        <is>
          <t>국회 제출·통과 여부 재확인</t>
        </is>
      </c>
      <c r="H81" s="3" t="inlineStr">
        <is>
          <t>11_종부세_과세표준.md L140</t>
        </is>
      </c>
      <c r="I81" s="4" t="inlineStr">
        <is>
          <t>미확인</t>
        </is>
      </c>
      <c r="J81" s="3" t="inlineStr"/>
      <c r="K81" s="3" t="inlineStr"/>
      <c r="L81" s="2" t="inlineStr"/>
      <c r="M81" s="5" t="inlineStr"/>
      <c r="N81" s="3" t="inlineStr"/>
      <c r="O81" s="6" t="inlineStr">
        <is>
          <t>11|L0140|1</t>
        </is>
      </c>
      <c r="P81" s="6" t="inlineStr">
        <is>
          <t>미확인</t>
        </is>
      </c>
    </row>
    <row r="82">
      <c r="A82" s="2" t="n">
        <v>81</v>
      </c>
      <c r="B82" s="2" t="n">
        <v>11</v>
      </c>
      <c r="C82" s="3" t="inlineStr">
        <is>
          <t>11.4-5 그 밖의 판례</t>
        </is>
      </c>
      <c r="D82" s="2" t="inlineStr">
        <is>
          <t>🟢 보완</t>
        </is>
      </c>
      <c r="E82" s="3" t="inlineStr">
        <is>
          <t>[검증필요 — 판결 본문 대조]</t>
        </is>
      </c>
      <c r="F82" s="3" t="inlineStr"/>
      <c r="G82" s="3" t="inlineStr">
        <is>
          <t>판결 본문 대조</t>
        </is>
      </c>
      <c r="H82" s="3" t="inlineStr">
        <is>
          <t>11_종부세_과세표준.md L164</t>
        </is>
      </c>
      <c r="I82" s="4" t="inlineStr">
        <is>
          <t>미확인</t>
        </is>
      </c>
      <c r="J82" s="3" t="inlineStr"/>
      <c r="K82" s="3" t="inlineStr"/>
      <c r="L82" s="2" t="inlineStr"/>
      <c r="M82" s="5" t="inlineStr"/>
      <c r="N82" s="3" t="inlineStr"/>
      <c r="O82" s="6" t="inlineStr">
        <is>
          <t>11|L0164|1</t>
        </is>
      </c>
      <c r="P82" s="6" t="inlineStr">
        <is>
          <t>미확인</t>
        </is>
      </c>
    </row>
    <row r="83">
      <c r="A83" s="2" t="n">
        <v>82</v>
      </c>
      <c r="B83" s="2" t="n">
        <v>11</v>
      </c>
      <c r="C83" s="3" t="inlineStr">
        <is>
          <t>11.4-5 그 밖의 판례</t>
        </is>
      </c>
      <c r="D83" s="2" t="inlineStr">
        <is>
          <t>🟢 보완</t>
        </is>
      </c>
      <c r="E83" s="3" t="inlineStr">
        <is>
          <t>[검증필요 — 판결 본문 대조 및 후속 판례 확인]</t>
        </is>
      </c>
      <c r="F83" s="3" t="inlineStr"/>
      <c r="G83" s="3" t="inlineStr">
        <is>
          <t>판결 본문 대조 및 후속 판례 확인</t>
        </is>
      </c>
      <c r="H83" s="3" t="inlineStr">
        <is>
          <t>11_종부세_과세표준.md L166</t>
        </is>
      </c>
      <c r="I83" s="4" t="inlineStr">
        <is>
          <t>미확인</t>
        </is>
      </c>
      <c r="J83" s="3" t="inlineStr"/>
      <c r="K83" s="3" t="inlineStr"/>
      <c r="L83" s="2" t="inlineStr"/>
      <c r="M83" s="5" t="inlineStr"/>
      <c r="N83" s="3" t="inlineStr"/>
      <c r="O83" s="6" t="inlineStr">
        <is>
          <t>11|L0166|1</t>
        </is>
      </c>
      <c r="P83" s="6" t="inlineStr">
        <is>
          <t>미확인</t>
        </is>
      </c>
    </row>
    <row r="84">
      <c r="A84" s="7" t="n">
        <v>83</v>
      </c>
      <c r="B84" s="7" t="n">
        <v>12</v>
      </c>
      <c r="C84" s="8" t="inlineStr">
        <is>
          <t>12.2.2 ★ 세율을 가르는 「주택 수」</t>
        </is>
      </c>
      <c r="D84" s="7" t="inlineStr">
        <is>
          <t>🟡 중요</t>
        </is>
      </c>
      <c r="E84" s="8" t="inlineStr">
        <is>
          <t>[검증필요 — 이후 요건 조문 후단 원문 대조]</t>
        </is>
      </c>
      <c r="F84" s="8" t="inlineStr"/>
      <c r="G84" s="8" t="inlineStr">
        <is>
          <t>이후 요건 조문 후단 원문 대조</t>
        </is>
      </c>
      <c r="H84" s="8" t="inlineStr">
        <is>
          <t>12_종부세_세율.md L87</t>
        </is>
      </c>
      <c r="I84" s="4" t="inlineStr">
        <is>
          <t>미확인</t>
        </is>
      </c>
      <c r="J84" s="8" t="inlineStr"/>
      <c r="K84" s="8" t="inlineStr"/>
      <c r="L84" s="7" t="inlineStr"/>
      <c r="M84" s="9" t="inlineStr"/>
      <c r="N84" s="8" t="inlineStr"/>
      <c r="O84" s="10" t="inlineStr">
        <is>
          <t>12|L0087|1</t>
        </is>
      </c>
      <c r="P84" s="10" t="inlineStr">
        <is>
          <t>미확인</t>
        </is>
      </c>
    </row>
    <row r="85">
      <c r="A85" s="7" t="n">
        <v>84</v>
      </c>
      <c r="B85" s="7" t="n">
        <v>12</v>
      </c>
      <c r="C85" s="8" t="inlineStr">
        <is>
          <t>12.2.2 ★ 세율을 가르는 「주택 수」</t>
        </is>
      </c>
      <c r="D85" s="7" t="inlineStr">
        <is>
          <t>🟡 중요</t>
        </is>
      </c>
      <c r="E85" s="8" t="inlineStr">
        <is>
          <t>[검증필요 — 부령 명칭 정합성]</t>
        </is>
      </c>
      <c r="F85" s="8" t="inlineStr"/>
      <c r="G85" s="8" t="inlineStr">
        <is>
          <t>부령 명칭 정합성</t>
        </is>
      </c>
      <c r="H85" s="8" t="inlineStr">
        <is>
          <t>12_종부세_세율.md L92</t>
        </is>
      </c>
      <c r="I85" s="4" t="inlineStr">
        <is>
          <t>미확인</t>
        </is>
      </c>
      <c r="J85" s="8" t="inlineStr"/>
      <c r="K85" s="8" t="inlineStr"/>
      <c r="L85" s="7" t="inlineStr"/>
      <c r="M85" s="9" t="inlineStr"/>
      <c r="N85" s="8" t="inlineStr"/>
      <c r="O85" s="10" t="inlineStr">
        <is>
          <t>12|L0092|1</t>
        </is>
      </c>
      <c r="P85" s="10" t="inlineStr">
        <is>
          <t>미확인</t>
        </is>
      </c>
    </row>
    <row r="86">
      <c r="A86" s="2" t="n">
        <v>85</v>
      </c>
      <c r="B86" s="2" t="n">
        <v>12</v>
      </c>
      <c r="C86" s="3" t="inlineStr">
        <is>
          <t>12.2.5 농어촌특별세</t>
        </is>
      </c>
      <c r="D86" s="2" t="inlineStr">
        <is>
          <t>🟢 보완</t>
        </is>
      </c>
      <c r="E86" s="3" t="inlineStr">
        <is>
          <t>[검증필요 — 농특세법 시행령 분납 절차]</t>
        </is>
      </c>
      <c r="F86" s="3" t="inlineStr"/>
      <c r="G86" s="3" t="inlineStr">
        <is>
          <t>농특세법 시행령 분납 절차</t>
        </is>
      </c>
      <c r="H86" s="3" t="inlineStr">
        <is>
          <t>12_종부세_세율.md L158</t>
        </is>
      </c>
      <c r="I86" s="4" t="inlineStr">
        <is>
          <t>미확인</t>
        </is>
      </c>
      <c r="J86" s="3" t="inlineStr"/>
      <c r="K86" s="3" t="inlineStr"/>
      <c r="L86" s="2" t="inlineStr"/>
      <c r="M86" s="5" t="inlineStr"/>
      <c r="N86" s="3" t="inlineStr"/>
      <c r="O86" s="6" t="inlineStr">
        <is>
          <t>12|L0158|1</t>
        </is>
      </c>
      <c r="P86" s="6" t="inlineStr">
        <is>
          <t>미확인</t>
        </is>
      </c>
    </row>
    <row r="87">
      <c r="A87" s="2" t="n">
        <v>86</v>
      </c>
      <c r="B87" s="2" t="n">
        <v>12</v>
      </c>
      <c r="C87" s="3" t="inlineStr">
        <is>
          <t>12.3 실무 절차</t>
        </is>
      </c>
      <c r="D87" s="2" t="inlineStr">
        <is>
          <t>🟢 보완</t>
        </is>
      </c>
      <c r="E87" s="3" t="inlineStr">
        <is>
          <t>[검증필요 — 2026년 세제개편안 국회 제출·통과 여부, 열람 시점 재확인]</t>
        </is>
      </c>
      <c r="F87" s="3" t="inlineStr"/>
      <c r="G87" s="3" t="inlineStr">
        <is>
          <t>2026년 세제개편안 국회 제출·통과 여부, 열람 시점 재확인</t>
        </is>
      </c>
      <c r="H87" s="3" t="inlineStr">
        <is>
          <t>12_종부세_세율.md L199</t>
        </is>
      </c>
      <c r="I87" s="4" t="inlineStr">
        <is>
          <t>미확인</t>
        </is>
      </c>
      <c r="J87" s="3" t="inlineStr"/>
      <c r="K87" s="3" t="inlineStr"/>
      <c r="L87" s="2" t="inlineStr"/>
      <c r="M87" s="5" t="inlineStr"/>
      <c r="N87" s="3" t="inlineStr"/>
      <c r="O87" s="6" t="inlineStr">
        <is>
          <t>12|L0199|1</t>
        </is>
      </c>
      <c r="P87" s="6" t="inlineStr">
        <is>
          <t>미확인</t>
        </is>
      </c>
    </row>
    <row r="88">
      <c r="A88" s="7" t="n">
        <v>87</v>
      </c>
      <c r="B88" s="7" t="n">
        <v>12</v>
      </c>
      <c r="C88" s="8" t="inlineStr">
        <is>
          <t>12.4.2 법인 단일세율의 합헌성</t>
        </is>
      </c>
      <c r="D88" s="7" t="inlineStr">
        <is>
          <t>🟡 중요</t>
        </is>
      </c>
      <c r="E88" s="8" t="inlineStr">
        <is>
          <t>[검증필요 — 결정 주문 전문. 이 책은 판시사항·결정요지 범위 내에서만 인용했다]</t>
        </is>
      </c>
      <c r="F88" s="8" t="inlineStr"/>
      <c r="G88" s="8" t="inlineStr">
        <is>
          <t>결정 주문 전문. 이 책은 판시사항·결정요지 범위 내에서만 인용했다</t>
        </is>
      </c>
      <c r="H88" s="8" t="inlineStr">
        <is>
          <t>12_종부세_세율.md L261</t>
        </is>
      </c>
      <c r="I88" s="4" t="inlineStr">
        <is>
          <t>미확인</t>
        </is>
      </c>
      <c r="J88" s="8" t="inlineStr"/>
      <c r="K88" s="8" t="inlineStr"/>
      <c r="L88" s="7" t="inlineStr"/>
      <c r="M88" s="9" t="inlineStr"/>
      <c r="N88" s="8" t="inlineStr"/>
      <c r="O88" s="10" t="inlineStr">
        <is>
          <t>12|L0261|1</t>
        </is>
      </c>
      <c r="P88" s="10" t="inlineStr">
        <is>
          <t>미확인</t>
        </is>
      </c>
    </row>
    <row r="89">
      <c r="A89" s="2" t="n">
        <v>88</v>
      </c>
      <c r="B89" s="2" t="n">
        <v>12</v>
      </c>
      <c r="C89" s="3" t="inlineStr">
        <is>
          <t>12.4.3 그 밖의 결정과 하급심</t>
        </is>
      </c>
      <c r="D89" s="2" t="inlineStr">
        <is>
          <t>🟢 보완</t>
        </is>
      </c>
      <c r="E89" s="3" t="inlineStr">
        <is>
          <t>[검증필요 — 결정 주문 전문]</t>
        </is>
      </c>
      <c r="F89" s="3" t="inlineStr"/>
      <c r="G89" s="3" t="inlineStr">
        <is>
          <t>결정 주문 전문</t>
        </is>
      </c>
      <c r="H89" s="3" t="inlineStr">
        <is>
          <t>12_종부세_세율.md L270</t>
        </is>
      </c>
      <c r="I89" s="4" t="inlineStr">
        <is>
          <t>미확인</t>
        </is>
      </c>
      <c r="J89" s="3" t="inlineStr"/>
      <c r="K89" s="3" t="inlineStr"/>
      <c r="L89" s="2" t="inlineStr"/>
      <c r="M89" s="5" t="inlineStr"/>
      <c r="N89" s="3" t="inlineStr"/>
      <c r="O89" s="6" t="inlineStr">
        <is>
          <t>12|L0270|1</t>
        </is>
      </c>
      <c r="P89" s="6" t="inlineStr">
        <is>
          <t>미확인</t>
        </is>
      </c>
    </row>
    <row r="90">
      <c r="A90" s="2" t="n">
        <v>89</v>
      </c>
      <c r="B90" s="2" t="n">
        <v>12</v>
      </c>
      <c r="C90" s="3" t="inlineStr">
        <is>
          <t>12.4.3 그 밖의 결정과 하급심</t>
        </is>
      </c>
      <c r="D90" s="2" t="inlineStr">
        <is>
          <t>🟢 보완</t>
        </is>
      </c>
      <c r="E90" s="3" t="inlineStr">
        <is>
          <t>[검증필요 — 하급심 5건 판결 본문 대조]</t>
        </is>
      </c>
      <c r="F90" s="3" t="inlineStr"/>
      <c r="G90" s="3" t="inlineStr">
        <is>
          <t>하급심 5건 판결 본문 대조</t>
        </is>
      </c>
      <c r="H90" s="3" t="inlineStr">
        <is>
          <t>12_종부세_세율.md L280</t>
        </is>
      </c>
      <c r="I90" s="4" t="inlineStr">
        <is>
          <t>미확인</t>
        </is>
      </c>
      <c r="J90" s="3" t="inlineStr"/>
      <c r="K90" s="3" t="inlineStr"/>
      <c r="L90" s="2" t="inlineStr"/>
      <c r="M90" s="5" t="inlineStr"/>
      <c r="N90" s="3" t="inlineStr"/>
      <c r="O90" s="6" t="inlineStr">
        <is>
          <t>12|L0280|1</t>
        </is>
      </c>
      <c r="P90" s="6" t="inlineStr">
        <is>
          <t>미확인</t>
        </is>
      </c>
    </row>
    <row r="91">
      <c r="A91" s="7" t="n">
        <v>90</v>
      </c>
      <c r="B91" s="7" t="n">
        <v>13</v>
      </c>
      <c r="C91" s="8" t="inlineStr">
        <is>
          <t>13.2.2 공제되는 재산세액의 범위</t>
        </is>
      </c>
      <c r="D91" s="7" t="inlineStr">
        <is>
          <t>🟡 중요</t>
        </is>
      </c>
      <c r="E91" s="8" t="inlineStr">
        <is>
          <t>[검증필요 — 조문 정합성, 감수자 확인]</t>
        </is>
      </c>
      <c r="F91" s="8" t="inlineStr"/>
      <c r="G91" s="8" t="inlineStr">
        <is>
          <t>조문 정합성, 감수자 확인</t>
        </is>
      </c>
      <c r="H91" s="8" t="inlineStr">
        <is>
          <t>13_재산세액공제_세부담상한.md L64</t>
        </is>
      </c>
      <c r="I91" s="4" t="inlineStr">
        <is>
          <t>미확인</t>
        </is>
      </c>
      <c r="J91" s="8" t="inlineStr"/>
      <c r="K91" s="8" t="inlineStr"/>
      <c r="L91" s="7" t="inlineStr"/>
      <c r="M91" s="9" t="inlineStr"/>
      <c r="N91" s="8" t="inlineStr"/>
      <c r="O91" s="10" t="inlineStr">
        <is>
          <t>13|L0064|1</t>
        </is>
      </c>
      <c r="P91" s="10" t="inlineStr">
        <is>
          <t>미확인</t>
        </is>
      </c>
    </row>
    <row r="92">
      <c r="A92" s="7" t="n">
        <v>91</v>
      </c>
      <c r="B92" s="7" t="n">
        <v>13</v>
      </c>
      <c r="C92" s="8" t="inlineStr">
        <is>
          <t>13.3.2 총세액상당액을 만드는 두 방식</t>
        </is>
      </c>
      <c r="D92" s="7" t="inlineStr">
        <is>
          <t>🟡 중요</t>
        </is>
      </c>
      <c r="E92" s="8" t="inlineStr">
        <is>
          <t>[검증필요 — 별지 제35호 서식 본문 미취득]</t>
        </is>
      </c>
      <c r="F92" s="8" t="inlineStr"/>
      <c r="G92" s="8" t="inlineStr">
        <is>
          <t>별지 제35호 서식 본문 미취득</t>
        </is>
      </c>
      <c r="H92" s="8" t="inlineStr">
        <is>
          <t>13_재산세액공제_세부담상한.md L114</t>
        </is>
      </c>
      <c r="I92" s="4" t="inlineStr">
        <is>
          <t>미확인</t>
        </is>
      </c>
      <c r="J92" s="8" t="inlineStr"/>
      <c r="K92" s="8" t="inlineStr"/>
      <c r="L92" s="7" t="inlineStr"/>
      <c r="M92" s="9" t="inlineStr"/>
      <c r="N92" s="8" t="inlineStr"/>
      <c r="O92" s="10" t="inlineStr">
        <is>
          <t>13|L0114|1</t>
        </is>
      </c>
      <c r="P92" s="10" t="inlineStr">
        <is>
          <t>미확인</t>
        </is>
      </c>
    </row>
    <row r="93">
      <c r="A93" s="11" t="n">
        <v>92</v>
      </c>
      <c r="B93" s="11" t="n">
        <v>13</v>
      </c>
      <c r="C93" s="12" t="inlineStr">
        <is>
          <t>13.3.2 총세액상당액을 만드는 두 방식</t>
        </is>
      </c>
      <c r="D93" s="11" t="inlineStr">
        <is>
          <t>🔴 최우선</t>
        </is>
      </c>
      <c r="E93" s="12" t="inlineStr">
        <is>
          <t>[검증필요 — 토지분 공제 산식 조문 미취득]</t>
        </is>
      </c>
      <c r="F93" s="12" t="inlineStr"/>
      <c r="G93" s="12" t="inlineStr">
        <is>
          <t>토지분 공제 산식 조문 미취득</t>
        </is>
      </c>
      <c r="H93" s="12" t="inlineStr">
        <is>
          <t>13_재산세액공제_세부담상한.md L117</t>
        </is>
      </c>
      <c r="I93" s="4" t="inlineStr">
        <is>
          <t>미확인</t>
        </is>
      </c>
      <c r="J93" s="12" t="inlineStr"/>
      <c r="K93" s="12" t="inlineStr"/>
      <c r="L93" s="11" t="inlineStr"/>
      <c r="M93" s="13" t="inlineStr"/>
      <c r="N93" s="12" t="inlineStr"/>
      <c r="O93" s="14" t="inlineStr">
        <is>
          <t>13|L0117|1</t>
        </is>
      </c>
      <c r="P93" s="14" t="inlineStr">
        <is>
          <t>미확인</t>
        </is>
      </c>
    </row>
    <row r="94">
      <c r="A94" s="7" t="n">
        <v>93</v>
      </c>
      <c r="B94" s="7" t="n">
        <v>13</v>
      </c>
      <c r="C94" s="8" t="inlineStr">
        <is>
          <t>13.3.2 총세액상당액을 만드는 두 방식</t>
        </is>
      </c>
      <c r="D94" s="7" t="inlineStr">
        <is>
          <t>🟡 중요</t>
        </is>
      </c>
      <c r="E94" s="8" t="inlineStr">
        <is>
          <t>[검증필요 — 시행규칙 조문 미취득]</t>
        </is>
      </c>
      <c r="F94" s="8" t="inlineStr"/>
      <c r="G94" s="8" t="inlineStr">
        <is>
          <t>시행규칙 조문 미취득</t>
        </is>
      </c>
      <c r="H94" s="8" t="inlineStr">
        <is>
          <t>13_재산세액공제_세부담상한.md L118</t>
        </is>
      </c>
      <c r="I94" s="4" t="inlineStr">
        <is>
          <t>미확인</t>
        </is>
      </c>
      <c r="J94" s="8" t="inlineStr"/>
      <c r="K94" s="8" t="inlineStr"/>
      <c r="L94" s="7" t="inlineStr"/>
      <c r="M94" s="9" t="inlineStr"/>
      <c r="N94" s="8" t="inlineStr"/>
      <c r="O94" s="10" t="inlineStr">
        <is>
          <t>13|L0118|1</t>
        </is>
      </c>
      <c r="P94" s="10" t="inlineStr">
        <is>
          <t>미확인</t>
        </is>
      </c>
    </row>
    <row r="95">
      <c r="A95" s="2" t="n">
        <v>94</v>
      </c>
      <c r="B95" s="2" t="n">
        <v>13</v>
      </c>
      <c r="C95" s="3" t="inlineStr">
        <is>
          <t>13.4.3 개정 후 산식과 세부담 상한을 다툰 계보</t>
        </is>
      </c>
      <c r="D95" s="2" t="inlineStr">
        <is>
          <t>🟢 보완</t>
        </is>
      </c>
      <c r="E95" s="3" t="inlineStr">
        <is>
          <t>[검증필요 — 하급심·상고심 판결 이유 및 심판례 결정문 미확보]</t>
        </is>
      </c>
      <c r="F95" s="3" t="inlineStr"/>
      <c r="G95" s="3" t="inlineStr">
        <is>
          <t>하급심·상고심 판결 이유 및 심판례 결정문 미확보</t>
        </is>
      </c>
      <c r="H95" s="3" t="inlineStr">
        <is>
          <t>13_재산세액공제_세부담상한.md L202</t>
        </is>
      </c>
      <c r="I95" s="4" t="inlineStr">
        <is>
          <t>미확인</t>
        </is>
      </c>
      <c r="J95" s="3" t="inlineStr"/>
      <c r="K95" s="3" t="inlineStr"/>
      <c r="L95" s="2" t="inlineStr"/>
      <c r="M95" s="5" t="inlineStr"/>
      <c r="N95" s="3" t="inlineStr"/>
      <c r="O95" s="6" t="inlineStr">
        <is>
          <t>13|L0202|1</t>
        </is>
      </c>
      <c r="P95" s="6" t="inlineStr">
        <is>
          <t>미확인</t>
        </is>
      </c>
    </row>
    <row r="96">
      <c r="A96" s="2" t="n">
        <v>95</v>
      </c>
      <c r="B96" s="2" t="n">
        <v>14</v>
      </c>
      <c r="C96" s="3" t="inlineStr">
        <is>
          <t>14.2.5 보유기간 계산 특례</t>
        </is>
      </c>
      <c r="D96" s="2" t="inlineStr">
        <is>
          <t>🟢 보완</t>
        </is>
      </c>
      <c r="E96" s="3" t="inlineStr">
        <is>
          <t>[검증필요 — 배우자 아닌 자로부터의 상속·증여 주택의 보유기간 취급에 관한 국세청 해석 미확인]</t>
        </is>
      </c>
      <c r="F96" s="3" t="inlineStr"/>
      <c r="G96" s="3" t="inlineStr">
        <is>
          <t>배우자 아닌 자로부터의 상속·증여 주택의 보유기간 취급에 관한 국세청 해석 미확인</t>
        </is>
      </c>
      <c r="H96" s="3" t="inlineStr">
        <is>
          <t>14_고령자_장기보유_세액공제.md L103</t>
        </is>
      </c>
      <c r="I96" s="4" t="inlineStr">
        <is>
          <t>미확인</t>
        </is>
      </c>
      <c r="J96" s="3" t="inlineStr"/>
      <c r="K96" s="3" t="inlineStr"/>
      <c r="L96" s="2" t="inlineStr"/>
      <c r="M96" s="5" t="inlineStr"/>
      <c r="N96" s="3" t="inlineStr"/>
      <c r="O96" s="6" t="inlineStr">
        <is>
          <t>14|L0103|1</t>
        </is>
      </c>
      <c r="P96" s="6" t="inlineStr">
        <is>
          <t>미확인</t>
        </is>
      </c>
    </row>
    <row r="97">
      <c r="A97" s="2" t="n">
        <v>96</v>
      </c>
      <c r="B97" s="2" t="n">
        <v>14</v>
      </c>
      <c r="C97" s="3" t="inlineStr">
        <is>
          <t>14.2.5 보유기간 계산 특례</t>
        </is>
      </c>
      <c r="D97" s="2" t="inlineStr">
        <is>
          <t>🟢 보완</t>
        </is>
      </c>
      <c r="E97" s="3" t="inlineStr">
        <is>
          <t>[검증필요 — 부부 간 지분 이전·공동명의 전환 시 보유기간에 관한 규정·해석 모두 미확인]</t>
        </is>
      </c>
      <c r="F97" s="3" t="inlineStr"/>
      <c r="G97" s="3" t="inlineStr">
        <is>
          <t>부부 간 지분 이전·공동명의 전환 시 보유기간에 관한 규정·해석 모두 미확인</t>
        </is>
      </c>
      <c r="H97" s="3" t="inlineStr">
        <is>
          <t>14_고령자_장기보유_세액공제.md L104</t>
        </is>
      </c>
      <c r="I97" s="4" t="inlineStr">
        <is>
          <t>미확인</t>
        </is>
      </c>
      <c r="J97" s="3" t="inlineStr"/>
      <c r="K97" s="3" t="inlineStr"/>
      <c r="L97" s="2" t="inlineStr"/>
      <c r="M97" s="5" t="inlineStr"/>
      <c r="N97" s="3" t="inlineStr"/>
      <c r="O97" s="6" t="inlineStr">
        <is>
          <t>14|L0104|1</t>
        </is>
      </c>
      <c r="P97" s="6" t="inlineStr">
        <is>
          <t>미확인</t>
        </is>
      </c>
    </row>
    <row r="98">
      <c r="A98" s="2" t="n">
        <v>97</v>
      </c>
      <c r="B98" s="2" t="n">
        <v>14</v>
      </c>
      <c r="C98" s="3" t="inlineStr">
        <is>
          <t>14.2.5 보유기간 계산 특례</t>
        </is>
      </c>
      <c r="D98" s="2" t="inlineStr">
        <is>
          <t>🟢 보완</t>
        </is>
      </c>
      <c r="E98" s="3" t="inlineStr">
        <is>
          <t>[검증필요 — 재건축 공사기간의 보유기간 산입 여부에 관한 국세청 해석 미확인]</t>
        </is>
      </c>
      <c r="F98" s="3" t="inlineStr"/>
      <c r="G98" s="3" t="inlineStr">
        <is>
          <t>재건축 공사기간의 보유기간 산입 여부에 관한 국세청 해석 미확인</t>
        </is>
      </c>
      <c r="H98" s="3" t="inlineStr">
        <is>
          <t>14_고령자_장기보유_세액공제.md L108</t>
        </is>
      </c>
      <c r="I98" s="4" t="inlineStr">
        <is>
          <t>미확인</t>
        </is>
      </c>
      <c r="J98" s="3" t="inlineStr"/>
      <c r="K98" s="3" t="inlineStr"/>
      <c r="L98" s="2" t="inlineStr"/>
      <c r="M98" s="5" t="inlineStr"/>
      <c r="N98" s="3" t="inlineStr"/>
      <c r="O98" s="6" t="inlineStr">
        <is>
          <t>14|L0108|1</t>
        </is>
      </c>
      <c r="P98" s="6" t="inlineStr">
        <is>
          <t>미확인</t>
        </is>
      </c>
    </row>
    <row r="99">
      <c r="A99" s="7" t="n">
        <v>98</v>
      </c>
      <c r="B99" s="7" t="n">
        <v>14</v>
      </c>
      <c r="C99" s="8" t="inlineStr">
        <is>
          <t>14.3.2 보유기간 특례에는 신청 의무가 있다</t>
        </is>
      </c>
      <c r="D99" s="7" t="inlineStr">
        <is>
          <t>🟡 중요</t>
        </is>
      </c>
      <c r="E99" s="8" t="inlineStr">
        <is>
          <t>[검증필요 — 시행규칙 별지 제29호 서식 본문(칸 구성·기재요령) 미취득]</t>
        </is>
      </c>
      <c r="F99" s="8" t="inlineStr"/>
      <c r="G99" s="8" t="inlineStr">
        <is>
          <t>시행규칙 별지 제29호 서식 본문(칸 구성·기재요령) 미취득</t>
        </is>
      </c>
      <c r="H99" s="8" t="inlineStr">
        <is>
          <t>14_고령자_장기보유_세액공제.md L133</t>
        </is>
      </c>
      <c r="I99" s="4" t="inlineStr">
        <is>
          <t>미확인</t>
        </is>
      </c>
      <c r="J99" s="8" t="inlineStr"/>
      <c r="K99" s="8" t="inlineStr"/>
      <c r="L99" s="7" t="inlineStr"/>
      <c r="M99" s="9" t="inlineStr"/>
      <c r="N99" s="8" t="inlineStr"/>
      <c r="O99" s="10" t="inlineStr">
        <is>
          <t>14|L0133|1</t>
        </is>
      </c>
      <c r="P99" s="10" t="inlineStr">
        <is>
          <t>미확인</t>
        </is>
      </c>
    </row>
    <row r="100">
      <c r="A100" s="2" t="n">
        <v>99</v>
      </c>
      <c r="B100" s="2" t="n">
        <v>14</v>
      </c>
      <c r="C100" s="3" t="inlineStr">
        <is>
          <t>14.4.1 판례가 아직 형성되지 않은 영역이다</t>
        </is>
      </c>
      <c r="D100" s="2" t="inlineStr">
        <is>
          <t>🟢 보완</t>
        </is>
      </c>
      <c r="E100" s="3" t="inlineStr">
        <is>
          <t>[검증필요 — 서울행정법원 2009구합36323 판결 이유 미취득]</t>
        </is>
      </c>
      <c r="F100" s="3" t="inlineStr">
        <is>
          <t>2009구합36323</t>
        </is>
      </c>
      <c r="G100" s="3" t="inlineStr">
        <is>
          <t>서울행정법원 2009구합36323 판결 이유 미취득</t>
        </is>
      </c>
      <c r="H100" s="3" t="inlineStr">
        <is>
          <t>14_고령자_장기보유_세액공제.md L151</t>
        </is>
      </c>
      <c r="I100" s="4" t="inlineStr">
        <is>
          <t>미확인</t>
        </is>
      </c>
      <c r="J100" s="3" t="inlineStr"/>
      <c r="K100" s="3" t="inlineStr"/>
      <c r="L100" s="2" t="inlineStr"/>
      <c r="M100" s="5" t="inlineStr"/>
      <c r="N100" s="3" t="inlineStr"/>
      <c r="O100" s="6" t="inlineStr">
        <is>
          <t>14|L0151|1</t>
        </is>
      </c>
      <c r="P100" s="6" t="inlineStr">
        <is>
          <t>미확인</t>
        </is>
      </c>
    </row>
    <row r="101">
      <c r="A101" s="2" t="n">
        <v>100</v>
      </c>
      <c r="B101" s="2" t="n">
        <v>14</v>
      </c>
      <c r="C101" s="3" t="inlineStr">
        <is>
          <t>14.4.1 판례가 아직 형성되지 않은 영역이다</t>
        </is>
      </c>
      <c r="D101" s="2" t="inlineStr">
        <is>
          <t>🟢 보완</t>
        </is>
      </c>
      <c r="E101" s="3" t="inlineStr">
        <is>
          <t>[검증필요 — 관련 조세심판원 결정례 미수집]</t>
        </is>
      </c>
      <c r="F101" s="3" t="inlineStr"/>
      <c r="G101" s="3" t="inlineStr">
        <is>
          <t>관련 조세심판원 결정례 미수집</t>
        </is>
      </c>
      <c r="H101" s="3" t="inlineStr">
        <is>
          <t>14_고령자_장기보유_세액공제.md L152</t>
        </is>
      </c>
      <c r="I101" s="4" t="inlineStr">
        <is>
          <t>미확인</t>
        </is>
      </c>
      <c r="J101" s="3" t="inlineStr"/>
      <c r="K101" s="3" t="inlineStr"/>
      <c r="L101" s="2" t="inlineStr"/>
      <c r="M101" s="5" t="inlineStr"/>
      <c r="N101" s="3" t="inlineStr"/>
      <c r="O101" s="6" t="inlineStr">
        <is>
          <t>14|L0152|1</t>
        </is>
      </c>
      <c r="P101" s="6" t="inlineStr">
        <is>
          <t>미확인</t>
        </is>
      </c>
    </row>
    <row r="102">
      <c r="A102" s="2" t="n">
        <v>101</v>
      </c>
      <c r="B102" s="2" t="n">
        <v>15</v>
      </c>
      <c r="C102" s="3" t="inlineStr">
        <is>
          <t>15.1 쉽게 이해하기</t>
        </is>
      </c>
      <c r="D102" s="2" t="inlineStr">
        <is>
          <t>🟢 보완</t>
        </is>
      </c>
      <c r="E102" s="3" t="inlineStr">
        <is>
          <t>[검증필요 — 결정 이유 원문 미취득]</t>
        </is>
      </c>
      <c r="F102" s="3" t="inlineStr"/>
      <c r="G102" s="3" t="inlineStr">
        <is>
          <t>결정 이유 원문 미취득</t>
        </is>
      </c>
      <c r="H102" s="3" t="inlineStr">
        <is>
          <t>15_부부공동명의_특례.md L16</t>
        </is>
      </c>
      <c r="I102" s="4" t="inlineStr">
        <is>
          <t>미확인</t>
        </is>
      </c>
      <c r="J102" s="3" t="inlineStr"/>
      <c r="K102" s="3" t="inlineStr"/>
      <c r="L102" s="2" t="inlineStr"/>
      <c r="M102" s="5" t="inlineStr"/>
      <c r="N102" s="3" t="inlineStr"/>
      <c r="O102" s="6" t="inlineStr">
        <is>
          <t>15|L0016|1</t>
        </is>
      </c>
      <c r="P102" s="6" t="inlineStr">
        <is>
          <t>미확인</t>
        </is>
      </c>
    </row>
    <row r="103">
      <c r="A103" s="7" t="n">
        <v>102</v>
      </c>
      <c r="B103" s="7" t="n">
        <v>15</v>
      </c>
      <c r="C103" s="8" t="inlineStr">
        <is>
          <t>15.2.2 ★ 납세의무자를 정하는 기준이 바뀌었다</t>
        </is>
      </c>
      <c r="D103" s="7" t="inlineStr">
        <is>
          <t>🟡 중요</t>
        </is>
      </c>
      <c r="E103" s="8" t="inlineStr">
        <is>
          <t>[검증필요 — 부칙 적용례 미대조]</t>
        </is>
      </c>
      <c r="F103" s="8" t="inlineStr"/>
      <c r="G103" s="8" t="inlineStr">
        <is>
          <t>부칙 적용례 미대조</t>
        </is>
      </c>
      <c r="H103" s="8" t="inlineStr">
        <is>
          <t>15_부부공동명의_특례.md L65</t>
        </is>
      </c>
      <c r="I103" s="4" t="inlineStr">
        <is>
          <t>미확인</t>
        </is>
      </c>
      <c r="J103" s="8" t="inlineStr"/>
      <c r="K103" s="8" t="inlineStr"/>
      <c r="L103" s="7" t="inlineStr"/>
      <c r="M103" s="9" t="inlineStr"/>
      <c r="N103" s="8" t="inlineStr"/>
      <c r="O103" s="10" t="inlineStr">
        <is>
          <t>15|L0065|1</t>
        </is>
      </c>
      <c r="P103" s="10" t="inlineStr">
        <is>
          <t>미확인</t>
        </is>
      </c>
    </row>
    <row r="104">
      <c r="A104" s="2" t="n">
        <v>103</v>
      </c>
      <c r="B104" s="2" t="n">
        <v>15</v>
      </c>
      <c r="C104" s="3" t="inlineStr">
        <is>
          <t>15.2.3 특례를 신청하면 무엇이 달라지는가</t>
        </is>
      </c>
      <c r="D104" s="2" t="inlineStr">
        <is>
          <t>🟢 보완</t>
        </is>
      </c>
      <c r="E104" s="3" t="inlineStr">
        <is>
          <t>[검증필요 — 지분 취득 시기가 다른 경우의 보유기간]</t>
        </is>
      </c>
      <c r="F104" s="3" t="inlineStr"/>
      <c r="G104" s="3" t="inlineStr">
        <is>
          <t>지분 취득 시기가 다른 경우의 보유기간</t>
        </is>
      </c>
      <c r="H104" s="3" t="inlineStr">
        <is>
          <t>15_부부공동명의_특례.md L87</t>
        </is>
      </c>
      <c r="I104" s="4" t="inlineStr">
        <is>
          <t>미확인</t>
        </is>
      </c>
      <c r="J104" s="3" t="inlineStr"/>
      <c r="K104" s="3" t="inlineStr"/>
      <c r="L104" s="2" t="inlineStr"/>
      <c r="M104" s="5" t="inlineStr"/>
      <c r="N104" s="3" t="inlineStr"/>
      <c r="O104" s="6" t="inlineStr">
        <is>
          <t>15|L0087|1</t>
        </is>
      </c>
      <c r="P104" s="6" t="inlineStr">
        <is>
          <t>미확인</t>
        </is>
      </c>
    </row>
    <row r="105">
      <c r="A105" s="2" t="n">
        <v>104</v>
      </c>
      <c r="B105" s="2" t="n">
        <v>15</v>
      </c>
      <c r="C105" s="3" t="inlineStr">
        <is>
          <t>15.2.3 특례를 신청하면 무엇이 달라지는가</t>
        </is>
      </c>
      <c r="D105" s="2" t="inlineStr">
        <is>
          <t>🟢 보완</t>
        </is>
      </c>
      <c r="E105" s="3" t="inlineStr">
        <is>
          <t>[검증필요 — 국세청 해석]</t>
        </is>
      </c>
      <c r="F105" s="3" t="inlineStr"/>
      <c r="G105" s="3" t="inlineStr">
        <is>
          <t>국세청 해석</t>
        </is>
      </c>
      <c r="H105" s="3" t="inlineStr">
        <is>
          <t>15_부부공동명의_특례.md L88</t>
        </is>
      </c>
      <c r="I105" s="4" t="inlineStr">
        <is>
          <t>미확인</t>
        </is>
      </c>
      <c r="J105" s="3" t="inlineStr"/>
      <c r="K105" s="3" t="inlineStr"/>
      <c r="L105" s="2" t="inlineStr"/>
      <c r="M105" s="5" t="inlineStr"/>
      <c r="N105" s="3" t="inlineStr"/>
      <c r="O105" s="6" t="inlineStr">
        <is>
          <t>15|L0088|1</t>
        </is>
      </c>
      <c r="P105" s="6" t="inlineStr">
        <is>
          <t>미확인</t>
        </is>
      </c>
    </row>
    <row r="106">
      <c r="A106" s="7" t="n">
        <v>105</v>
      </c>
      <c r="B106" s="7" t="n">
        <v>15</v>
      </c>
      <c r="C106" s="8" t="inlineStr">
        <is>
          <t>15.3 실무 절차</t>
        </is>
      </c>
      <c r="D106" s="7" t="inlineStr">
        <is>
          <t>🟡 중요</t>
        </is>
      </c>
      <c r="E106" s="8" t="inlineStr">
        <is>
          <t>[검증필요 — 규칙상 근거 미대조]</t>
        </is>
      </c>
      <c r="F106" s="8" t="inlineStr"/>
      <c r="G106" s="8" t="inlineStr">
        <is>
          <t>규칙상 근거 미대조</t>
        </is>
      </c>
      <c r="H106" s="8" t="inlineStr">
        <is>
          <t>15_부부공동명의_특례.md L97</t>
        </is>
      </c>
      <c r="I106" s="4" t="inlineStr">
        <is>
          <t>미확인</t>
        </is>
      </c>
      <c r="J106" s="8" t="inlineStr"/>
      <c r="K106" s="8" t="inlineStr"/>
      <c r="L106" s="7" t="inlineStr"/>
      <c r="M106" s="9" t="inlineStr"/>
      <c r="N106" s="8" t="inlineStr"/>
      <c r="O106" s="10" t="inlineStr">
        <is>
          <t>15|L0097|1</t>
        </is>
      </c>
      <c r="P106" s="10" t="inlineStr">
        <is>
          <t>미확인</t>
        </is>
      </c>
    </row>
    <row r="107">
      <c r="A107" s="2" t="n">
        <v>106</v>
      </c>
      <c r="B107" s="2" t="n">
        <v>15</v>
      </c>
      <c r="C107" s="3" t="inlineStr">
        <is>
          <t>15.3 실무 절차</t>
        </is>
      </c>
      <c r="D107" s="2" t="inlineStr">
        <is>
          <t>🟢 보완</t>
        </is>
      </c>
      <c r="E107" s="3" t="inlineStr">
        <is>
          <t>[검증필요 — 신청기한 도과 시 경정청구 등 구제 가부]</t>
        </is>
      </c>
      <c r="F107" s="3" t="inlineStr"/>
      <c r="G107" s="3" t="inlineStr">
        <is>
          <t>신청기한 도과 시 경정청구 등 구제 가부</t>
        </is>
      </c>
      <c r="H107" s="3" t="inlineStr">
        <is>
          <t>15_부부공동명의_특례.md L106</t>
        </is>
      </c>
      <c r="I107" s="4" t="inlineStr">
        <is>
          <t>미확인</t>
        </is>
      </c>
      <c r="J107" s="3" t="inlineStr"/>
      <c r="K107" s="3" t="inlineStr"/>
      <c r="L107" s="2" t="inlineStr"/>
      <c r="M107" s="5" t="inlineStr"/>
      <c r="N107" s="3" t="inlineStr"/>
      <c r="O107" s="6" t="inlineStr">
        <is>
          <t>15|L0106|1</t>
        </is>
      </c>
      <c r="P107" s="6" t="inlineStr">
        <is>
          <t>미확인</t>
        </is>
      </c>
    </row>
    <row r="108">
      <c r="A108" s="2" t="n">
        <v>107</v>
      </c>
      <c r="B108" s="2" t="n">
        <v>15</v>
      </c>
      <c r="C108" s="3" t="inlineStr">
        <is>
          <t>15.4.1 입법의 배경이 된 사건</t>
        </is>
      </c>
      <c r="D108" s="2" t="inlineStr">
        <is>
          <t>🟢 보완</t>
        </is>
      </c>
      <c r="E108" s="3" t="inlineStr">
        <is>
          <t>[검증필요 — 판결 결론·이유 불일치]</t>
        </is>
      </c>
      <c r="F108" s="3" t="inlineStr"/>
      <c r="G108" s="3" t="inlineStr">
        <is>
          <t>판결 결론·이유 불일치</t>
        </is>
      </c>
      <c r="H108" s="3" t="inlineStr">
        <is>
          <t>15_부부공동명의_특례.md L136</t>
        </is>
      </c>
      <c r="I108" s="4" t="inlineStr">
        <is>
          <t>미확인</t>
        </is>
      </c>
      <c r="J108" s="3" t="inlineStr"/>
      <c r="K108" s="3" t="inlineStr"/>
      <c r="L108" s="2" t="inlineStr"/>
      <c r="M108" s="5" t="inlineStr"/>
      <c r="N108" s="3" t="inlineStr"/>
      <c r="O108" s="6" t="inlineStr">
        <is>
          <t>15|L0136|1</t>
        </is>
      </c>
      <c r="P108" s="6" t="inlineStr">
        <is>
          <t>미확인</t>
        </is>
      </c>
    </row>
    <row r="109">
      <c r="A109" s="11" t="n">
        <v>108</v>
      </c>
      <c r="B109" s="11" t="n">
        <v>15</v>
      </c>
      <c r="C109" s="12" t="inlineStr">
        <is>
          <t>15.4.2 사례 15-1</t>
        </is>
      </c>
      <c r="D109" s="11" t="inlineStr">
        <is>
          <t>🔴 최우선</t>
        </is>
      </c>
      <c r="E109" s="12" t="inlineStr">
        <is>
          <t>[검증필요 — 일반화 금지 · 사안별 실계산 필요]</t>
        </is>
      </c>
      <c r="F109" s="12" t="inlineStr"/>
      <c r="G109" s="12" t="inlineStr">
        <is>
          <t>특례를 신청하지 않은 경우 각 지분권자의 재산세액 공제를 산정할 때 분모를 주택 전체로 잡을지 지분 상당액으로 잡을지에 관한 해석이 확인되지 않았다. 위 표의 427,500원·91,500원과 합계 3,561,000원이 그 해석에 의존하며, 이 값은 아래 유·불리 판정의 기준선이 된다</t>
        </is>
      </c>
      <c r="H109" s="12" t="inlineStr">
        <is>
          <t>15_부부공동명의_특례.md L228</t>
        </is>
      </c>
      <c r="I109" s="4" t="inlineStr">
        <is>
          <t>미확인</t>
        </is>
      </c>
      <c r="J109" s="12" t="inlineStr"/>
      <c r="K109" s="12" t="inlineStr"/>
      <c r="L109" s="11" t="inlineStr"/>
      <c r="M109" s="13" t="inlineStr"/>
      <c r="N109" s="12" t="inlineStr"/>
      <c r="O109" s="14" t="inlineStr">
        <is>
          <t>15|L0155|1</t>
        </is>
      </c>
      <c r="P109" s="14" t="inlineStr">
        <is>
          <t>미확인</t>
        </is>
      </c>
    </row>
    <row r="110">
      <c r="A110" s="2" t="n">
        <v>109</v>
      </c>
      <c r="B110" s="2" t="n">
        <v>15</v>
      </c>
      <c r="C110" s="3" t="inlineStr">
        <is>
          <t>15.4.4 사례 15-3</t>
        </is>
      </c>
      <c r="D110" s="2" t="inlineStr">
        <is>
          <t>🟢 보완</t>
        </is>
      </c>
      <c r="E110" s="3" t="inlineStr">
        <is>
          <t>[검증필요]</t>
        </is>
      </c>
      <c r="F110" s="3" t="inlineStr"/>
      <c r="G110" s="3" t="inlineStr">
        <is>
          <t>일반화 금지 · 사안별 실계산 필요</t>
        </is>
      </c>
      <c r="H110" s="3" t="inlineStr">
        <is>
          <t>15_부부공동명의_특례.md L238</t>
        </is>
      </c>
      <c r="I110" s="4" t="inlineStr">
        <is>
          <t>미확인</t>
        </is>
      </c>
      <c r="J110" s="3" t="inlineStr"/>
      <c r="K110" s="3" t="inlineStr"/>
      <c r="L110" s="2" t="inlineStr"/>
      <c r="M110" s="5" t="inlineStr"/>
      <c r="N110" s="3" t="inlineStr"/>
      <c r="O110" s="6" t="inlineStr">
        <is>
          <t>15|L0228|1</t>
        </is>
      </c>
      <c r="P110" s="6" t="inlineStr">
        <is>
          <t>미확인</t>
        </is>
      </c>
    </row>
    <row r="111">
      <c r="A111" s="2" t="n">
        <v>110</v>
      </c>
      <c r="B111" s="2" t="n">
        <v>15</v>
      </c>
      <c r="C111" s="3" t="inlineStr">
        <is>
          <t>15.5 자주 묻는 질문</t>
        </is>
      </c>
      <c r="D111" s="2" t="inlineStr">
        <is>
          <t>🟢 보완</t>
        </is>
      </c>
      <c r="E111" s="3" t="inlineStr"/>
      <c r="F111" s="3" t="inlineStr"/>
      <c r="G111" s="3" t="inlineStr">
        <is>
          <t>상태다. Q2. 한 번 신청하면 해마다 다시 신청해야 하는가. 아니다.</t>
        </is>
      </c>
      <c r="H111" s="3" t="inlineStr">
        <is>
          <t>(원고에서 마커 미발견)</t>
        </is>
      </c>
      <c r="I111" s="4" t="inlineStr">
        <is>
          <t>미확인</t>
        </is>
      </c>
      <c r="J111" s="3" t="inlineStr"/>
      <c r="K111" s="3" t="inlineStr"/>
      <c r="L111" s="2" t="inlineStr"/>
      <c r="M111" s="5" t="inlineStr"/>
      <c r="N111" s="3" t="inlineStr"/>
      <c r="O111" s="6" t="inlineStr">
        <is>
          <t>15|L0238|1</t>
        </is>
      </c>
      <c r="P111" s="6" t="inlineStr">
        <is>
          <t>미확인</t>
        </is>
      </c>
    </row>
    <row r="112">
      <c r="A112" s="11" t="n">
        <v>111</v>
      </c>
      <c r="B112" s="11" t="n">
        <v>16</v>
      </c>
      <c r="C112" s="12" t="inlineStr">
        <is>
          <t>16.2.4 가산세와 환급</t>
        </is>
      </c>
      <c r="D112" s="11" t="inlineStr">
        <is>
          <t>🔴 최우선</t>
        </is>
      </c>
      <c r="E112" s="12" t="inlineStr">
        <is>
          <t>[검증필요 — 이자상당가산액의 이율·산식]</t>
        </is>
      </c>
      <c r="F112" s="12" t="inlineStr"/>
      <c r="G112" s="12" t="inlineStr">
        <is>
          <t>이자상당가산액의 이율·산식</t>
        </is>
      </c>
      <c r="H112" s="12" t="inlineStr">
        <is>
          <t>16_종부세_부과징수.md L83</t>
        </is>
      </c>
      <c r="I112" s="4" t="inlineStr">
        <is>
          <t>미확인</t>
        </is>
      </c>
      <c r="J112" s="12" t="inlineStr"/>
      <c r="K112" s="12" t="inlineStr"/>
      <c r="L112" s="11" t="inlineStr"/>
      <c r="M112" s="13" t="inlineStr"/>
      <c r="N112" s="12" t="inlineStr"/>
      <c r="O112" s="14" t="inlineStr">
        <is>
          <t>16|L0083|1</t>
        </is>
      </c>
      <c r="P112" s="14" t="inlineStr">
        <is>
          <t>미확인</t>
        </is>
      </c>
    </row>
    <row r="113">
      <c r="A113" s="2" t="n">
        <v>112</v>
      </c>
      <c r="B113" s="2" t="n">
        <v>16</v>
      </c>
      <c r="C113" s="3" t="inlineStr">
        <is>
          <t>16.3 실무 절차</t>
        </is>
      </c>
      <c r="D113" s="2" t="inlineStr">
        <is>
          <t>🟢 보완</t>
        </is>
      </c>
      <c r="E113" s="3" t="inlineStr">
        <is>
          <t>[검증필요 — 연도별 발송일]</t>
        </is>
      </c>
      <c r="F113" s="3" t="inlineStr"/>
      <c r="G113" s="3" t="inlineStr">
        <is>
          <t>연도별 발송일</t>
        </is>
      </c>
      <c r="H113" s="3" t="inlineStr">
        <is>
          <t>16_종부세_부과징수.md L92</t>
        </is>
      </c>
      <c r="I113" s="4" t="inlineStr">
        <is>
          <t>미확인</t>
        </is>
      </c>
      <c r="J113" s="3" t="inlineStr"/>
      <c r="K113" s="3" t="inlineStr"/>
      <c r="L113" s="2" t="inlineStr"/>
      <c r="M113" s="5" t="inlineStr"/>
      <c r="N113" s="3" t="inlineStr"/>
      <c r="O113" s="6" t="inlineStr">
        <is>
          <t>16|L0092|1</t>
        </is>
      </c>
      <c r="P113" s="6" t="inlineStr">
        <is>
          <t>미확인</t>
        </is>
      </c>
    </row>
    <row r="114">
      <c r="A114" s="11" t="n">
        <v>113</v>
      </c>
      <c r="B114" s="11" t="n">
        <v>16</v>
      </c>
      <c r="C114" s="12" t="inlineStr">
        <is>
          <t>표 B. 기한과 납부유예</t>
        </is>
      </c>
      <c r="D114" s="11" t="inlineStr">
        <is>
          <t>🔴 최우선</t>
        </is>
      </c>
      <c r="E114" s="12" t="inlineStr">
        <is>
          <t>[검증필요 — 「납부기한 만료 3일 전」의 기산]</t>
        </is>
      </c>
      <c r="F114" s="12" t="inlineStr"/>
      <c r="G114" s="12" t="inlineStr">
        <is>
          <t>「납부기한 만료 3일 전」의 기산</t>
        </is>
      </c>
      <c r="H114" s="12" t="inlineStr">
        <is>
          <t>16_종부세_부과징수.md L147</t>
        </is>
      </c>
      <c r="I114" s="4" t="inlineStr">
        <is>
          <t>미확인</t>
        </is>
      </c>
      <c r="J114" s="12" t="inlineStr"/>
      <c r="K114" s="12" t="inlineStr"/>
      <c r="L114" s="11" t="inlineStr"/>
      <c r="M114" s="13" t="inlineStr"/>
      <c r="N114" s="12" t="inlineStr"/>
      <c r="O114" s="14" t="inlineStr">
        <is>
          <t>16|L0147|1</t>
        </is>
      </c>
      <c r="P114" s="14" t="inlineStr">
        <is>
          <t>미확인</t>
        </is>
      </c>
    </row>
    <row r="115">
      <c r="A115" s="7" t="n">
        <v>114</v>
      </c>
      <c r="B115" s="7" t="n">
        <v>16</v>
      </c>
      <c r="C115" s="8" t="inlineStr">
        <is>
          <t>표 C. 가산세</t>
        </is>
      </c>
      <c r="D115" s="7" t="inlineStr">
        <is>
          <t>🟡 중요</t>
        </is>
      </c>
      <c r="E115" s="8" t="inlineStr">
        <is>
          <t>[검증필요 — 제47조의4 제8항 소액 면제의 적용 대상 호]</t>
        </is>
      </c>
      <c r="F115" s="8" t="inlineStr"/>
      <c r="G115" s="8" t="inlineStr">
        <is>
          <t>제47조의4 제8항 소액 면제의 적용 대상 호</t>
        </is>
      </c>
      <c r="H115" s="8" t="inlineStr">
        <is>
          <t>16_종부세_부과징수.md L164</t>
        </is>
      </c>
      <c r="I115" s="4" t="inlineStr">
        <is>
          <t>미확인</t>
        </is>
      </c>
      <c r="J115" s="8" t="inlineStr"/>
      <c r="K115" s="8" t="inlineStr"/>
      <c r="L115" s="7" t="inlineStr"/>
      <c r="M115" s="9" t="inlineStr"/>
      <c r="N115" s="8" t="inlineStr"/>
      <c r="O115" s="10" t="inlineStr">
        <is>
          <t>16|L0164|1</t>
        </is>
      </c>
      <c r="P115" s="10" t="inlineStr">
        <is>
          <t>미확인</t>
        </is>
      </c>
    </row>
    <row r="116">
      <c r="A116" s="11" t="n">
        <v>115</v>
      </c>
      <c r="B116" s="11" t="n">
        <v>16</v>
      </c>
      <c r="C116" s="12" t="inlineStr">
        <is>
          <t>표 C. 가산세</t>
        </is>
      </c>
      <c r="D116" s="11" t="inlineStr">
        <is>
          <t>🔴 최우선</t>
        </is>
      </c>
      <c r="E116" s="12" t="inlineStr">
        <is>
          <t>[검증필요 — 같은 조 제7항 5년 한도의 적용 구간]</t>
        </is>
      </c>
      <c r="F116" s="12" t="inlineStr"/>
      <c r="G116" s="12" t="inlineStr">
        <is>
          <t>같은 조 제7항 5년 한도의 적용 구간</t>
        </is>
      </c>
      <c r="H116" s="12" t="inlineStr">
        <is>
          <t>16_종부세_부과징수.md L166</t>
        </is>
      </c>
      <c r="I116" s="4" t="inlineStr">
        <is>
          <t>미확인</t>
        </is>
      </c>
      <c r="J116" s="12" t="inlineStr"/>
      <c r="K116" s="12" t="inlineStr"/>
      <c r="L116" s="11" t="inlineStr"/>
      <c r="M116" s="13" t="inlineStr"/>
      <c r="N116" s="12" t="inlineStr"/>
      <c r="O116" s="14" t="inlineStr">
        <is>
          <t>16|L0166|1</t>
        </is>
      </c>
      <c r="P116" s="14" t="inlineStr">
        <is>
          <t>미확인</t>
        </is>
      </c>
    </row>
    <row r="117">
      <c r="A117" s="11" t="n">
        <v>116</v>
      </c>
      <c r="B117" s="11" t="n">
        <v>16</v>
      </c>
      <c r="C117" s="12" t="inlineStr">
        <is>
          <t>16.5 자주 묻는 질문</t>
        </is>
      </c>
      <c r="D117" s="11" t="inlineStr">
        <is>
          <t>🔴 최우선</t>
        </is>
      </c>
      <c r="E117" s="12" t="inlineStr">
        <is>
          <t>[검증필요 — 동시 적용 시의 실무 처리기준과 금액 배분]</t>
        </is>
      </c>
      <c r="F117" s="12" t="inlineStr"/>
      <c r="G117" s="12" t="inlineStr">
        <is>
          <t>동시 적용 시의 실무 처리기준과 금액 배분</t>
        </is>
      </c>
      <c r="H117" s="12" t="inlineStr">
        <is>
          <t>16_종부세_부과징수.md L202</t>
        </is>
      </c>
      <c r="I117" s="4" t="inlineStr">
        <is>
          <t>미확인</t>
        </is>
      </c>
      <c r="J117" s="12" t="inlineStr"/>
      <c r="K117" s="12" t="inlineStr"/>
      <c r="L117" s="11" t="inlineStr"/>
      <c r="M117" s="13" t="inlineStr"/>
      <c r="N117" s="12" t="inlineStr"/>
      <c r="O117" s="14" t="inlineStr">
        <is>
          <t>16|L0202|1</t>
        </is>
      </c>
      <c r="P117" s="14" t="inlineStr">
        <is>
          <t>미확인</t>
        </is>
      </c>
    </row>
    <row r="118">
      <c r="A118" s="11" t="n">
        <v>117</v>
      </c>
      <c r="B118" s="11" t="n">
        <v>17</v>
      </c>
      <c r="C118" s="12" t="inlineStr">
        <is>
          <t>17.1 쉽게 이해하기</t>
        </is>
      </c>
      <c r="D118" s="11" t="inlineStr">
        <is>
          <t>🔴 최우선</t>
        </is>
      </c>
      <c r="E118" s="12" t="inlineStr">
        <is>
          <t>[검증필요 — 보통징수 재산세에 대한 경정청구 가부]</t>
        </is>
      </c>
      <c r="F118" s="12" t="inlineStr"/>
      <c r="G118" s="12" t="inlineStr">
        <is>
          <t>보통징수 재산세에 대한 경정청구 가부</t>
        </is>
      </c>
      <c r="H118" s="12" t="inlineStr">
        <is>
          <t>17_신고서식.md L23</t>
        </is>
      </c>
      <c r="I118" s="4" t="inlineStr">
        <is>
          <t>미확인</t>
        </is>
      </c>
      <c r="J118" s="12" t="inlineStr"/>
      <c r="K118" s="12" t="inlineStr"/>
      <c r="L118" s="11" t="inlineStr"/>
      <c r="M118" s="13" t="inlineStr"/>
      <c r="N118" s="12" t="inlineStr"/>
      <c r="O118" s="14" t="inlineStr">
        <is>
          <t>17|L0023|1</t>
        </is>
      </c>
      <c r="P118" s="14" t="inlineStr">
        <is>
          <t>미확인</t>
        </is>
      </c>
    </row>
    <row r="119">
      <c r="A119" s="7" t="n">
        <v>118</v>
      </c>
      <c r="B119" s="7" t="n">
        <v>17</v>
      </c>
      <c r="C119" s="8" t="inlineStr">
        <is>
          <t>17.2 법령 근거</t>
        </is>
      </c>
      <c r="D119" s="7" t="inlineStr">
        <is>
          <t>🟡 중요</t>
        </is>
      </c>
      <c r="E119" s="8" t="inlineStr">
        <is>
          <t>[검증필요 — 별지 제27호서식 본문(칸 구성·기재요령) 미취득]</t>
        </is>
      </c>
      <c r="F119" s="8" t="inlineStr"/>
      <c r="G119" s="8" t="inlineStr">
        <is>
          <t>별지 제27호서식 본문(칸 구성·기재요령) 미취득</t>
        </is>
      </c>
      <c r="H119" s="8" t="inlineStr">
        <is>
          <t>17_신고서식.md L45</t>
        </is>
      </c>
      <c r="I119" s="4" t="inlineStr">
        <is>
          <t>미확인</t>
        </is>
      </c>
      <c r="J119" s="8" t="inlineStr"/>
      <c r="K119" s="8" t="inlineStr"/>
      <c r="L119" s="7" t="inlineStr"/>
      <c r="M119" s="9" t="inlineStr"/>
      <c r="N119" s="8" t="inlineStr"/>
      <c r="O119" s="10" t="inlineStr">
        <is>
          <t>17|L0045|1</t>
        </is>
      </c>
      <c r="P119" s="10" t="inlineStr">
        <is>
          <t>미확인</t>
        </is>
      </c>
    </row>
    <row r="120">
      <c r="A120" s="7" t="n">
        <v>119</v>
      </c>
      <c r="B120" s="7" t="n">
        <v>17</v>
      </c>
      <c r="C120" s="8" t="inlineStr">
        <is>
          <t>17.2 법령 근거</t>
        </is>
      </c>
      <c r="D120" s="7" t="inlineStr">
        <is>
          <t>🟡 중요</t>
        </is>
      </c>
      <c r="E120" s="8" t="inlineStr">
        <is>
          <t>[검증필요]</t>
        </is>
      </c>
      <c r="F120" s="8" t="inlineStr"/>
      <c r="G120" s="8" t="inlineStr">
        <is>
          <t>로 남겼다. --- ## 17.3 실무 절차 — 상황별 서식 매칭표 ### 17.3.1 종합부동산세 — 제출처는 모두 관할세무서장</t>
        </is>
      </c>
      <c r="H120" s="8" t="inlineStr">
        <is>
          <t>17_신고서식.md L47</t>
        </is>
      </c>
      <c r="I120" s="4" t="inlineStr">
        <is>
          <t>미확인</t>
        </is>
      </c>
      <c r="J120" s="8" t="inlineStr"/>
      <c r="K120" s="8" t="inlineStr"/>
      <c r="L120" s="7" t="inlineStr"/>
      <c r="M120" s="9" t="inlineStr"/>
      <c r="N120" s="8" t="inlineStr"/>
      <c r="O120" s="10" t="inlineStr">
        <is>
          <t>17|L0047|1</t>
        </is>
      </c>
      <c r="P120" s="10" t="inlineStr">
        <is>
          <t>미확인</t>
        </is>
      </c>
    </row>
    <row r="121">
      <c r="A121" s="2" t="n">
        <v>120</v>
      </c>
      <c r="B121" s="2" t="n">
        <v>17</v>
      </c>
      <c r="C121" s="3" t="inlineStr">
        <is>
          <t>17.3.1 종합부동산세</t>
        </is>
      </c>
      <c r="D121" s="2" t="inlineStr">
        <is>
          <t>🟢 보완</t>
        </is>
      </c>
      <c r="E121" s="3" t="inlineStr">
        <is>
          <t>[검증필요]</t>
        </is>
      </c>
      <c r="F121" s="3" t="inlineStr"/>
      <c r="G121" s="3" t="inlineStr">
        <is>
          <t>(사유 미기재 — 원고 확인 필요)</t>
        </is>
      </c>
      <c r="H121" s="3" t="inlineStr">
        <is>
          <t>17_신고서식.md L61</t>
        </is>
      </c>
      <c r="I121" s="4" t="inlineStr">
        <is>
          <t>미확인</t>
        </is>
      </c>
      <c r="J121" s="3" t="inlineStr"/>
      <c r="K121" s="3" t="inlineStr"/>
      <c r="L121" s="2" t="inlineStr"/>
      <c r="M121" s="5" t="inlineStr"/>
      <c r="N121" s="3" t="inlineStr"/>
      <c r="O121" s="6" t="inlineStr">
        <is>
          <t>17|L0061|1</t>
        </is>
      </c>
      <c r="P121" s="6" t="inlineStr">
        <is>
          <t>미확인</t>
        </is>
      </c>
    </row>
    <row r="122">
      <c r="A122" s="7" t="n">
        <v>121</v>
      </c>
      <c r="B122" s="7" t="n">
        <v>17</v>
      </c>
      <c r="C122" s="8" t="inlineStr">
        <is>
          <t>17.3.1 종합부동산세</t>
        </is>
      </c>
      <c r="D122" s="7" t="inlineStr">
        <is>
          <t>🟡 중요</t>
        </is>
      </c>
      <c r="E122" s="8" t="inlineStr">
        <is>
          <t>[검증필요 — 별지 제29호·제35호서식 본문(칸 구성·기재요령) 미취득 및 제29호의 근거 조항 미확인]</t>
        </is>
      </c>
      <c r="F122" s="8" t="inlineStr"/>
      <c r="G122" s="8" t="inlineStr">
        <is>
          <t>별지 제29호·제35호서식 본문(칸 구성·기재요령) 미취득 및 제29호의 근거 조항 미확인</t>
        </is>
      </c>
      <c r="H122" s="8" t="inlineStr">
        <is>
          <t>17_신고서식.md L73</t>
        </is>
      </c>
      <c r="I122" s="4" t="inlineStr">
        <is>
          <t>미확인</t>
        </is>
      </c>
      <c r="J122" s="8" t="inlineStr"/>
      <c r="K122" s="8" t="inlineStr"/>
      <c r="L122" s="7" t="inlineStr"/>
      <c r="M122" s="9" t="inlineStr"/>
      <c r="N122" s="8" t="inlineStr"/>
      <c r="O122" s="10" t="inlineStr">
        <is>
          <t>17|L0073|1</t>
        </is>
      </c>
      <c r="P122" s="10" t="inlineStr">
        <is>
          <t>미확인</t>
        </is>
      </c>
    </row>
    <row r="123">
      <c r="A123" s="2" t="n">
        <v>122</v>
      </c>
      <c r="B123" s="2" t="n">
        <v>17</v>
      </c>
      <c r="C123" s="3" t="inlineStr">
        <is>
          <t>17.3.2 재산세</t>
        </is>
      </c>
      <c r="D123" s="2" t="inlineStr">
        <is>
          <t>🟢 보완</t>
        </is>
      </c>
      <c r="E123" s="3" t="inlineStr">
        <is>
          <t>[검증필요]</t>
        </is>
      </c>
      <c r="F123" s="3" t="inlineStr"/>
      <c r="G123" s="3" t="inlineStr">
        <is>
          <t>(사유 미기재 — 원고 확인 필요)</t>
        </is>
      </c>
      <c r="H123" s="3" t="inlineStr">
        <is>
          <t>17_신고서식.md L83</t>
        </is>
      </c>
      <c r="I123" s="4" t="inlineStr">
        <is>
          <t>미확인</t>
        </is>
      </c>
      <c r="J123" s="3" t="inlineStr"/>
      <c r="K123" s="3" t="inlineStr"/>
      <c r="L123" s="2" t="inlineStr"/>
      <c r="M123" s="5" t="inlineStr"/>
      <c r="N123" s="3" t="inlineStr"/>
      <c r="O123" s="6" t="inlineStr">
        <is>
          <t>17|L0083|1</t>
        </is>
      </c>
      <c r="P123" s="6" t="inlineStr">
        <is>
          <t>미확인</t>
        </is>
      </c>
    </row>
    <row r="124">
      <c r="A124" s="7" t="n">
        <v>123</v>
      </c>
      <c r="B124" s="7" t="n">
        <v>17</v>
      </c>
      <c r="C124" s="8" t="inlineStr">
        <is>
          <t>17.3.2 재산세</t>
        </is>
      </c>
      <c r="D124" s="7" t="inlineStr">
        <is>
          <t>🟡 중요</t>
        </is>
      </c>
      <c r="E124" s="8" t="inlineStr">
        <is>
          <t>[검증필요 — 별지 제61호·제63호의3~8서식 본문(칸 구성·기재요령) 및 제63호의3·4의 근거 조항 미취득]</t>
        </is>
      </c>
      <c r="F124" s="8" t="inlineStr"/>
      <c r="G124" s="8" t="inlineStr">
        <is>
          <t>별지 제61호·제63호의3~8서식 본문(칸 구성·기재요령) 및 제63호의3·4의 근거 조항 미취득</t>
        </is>
      </c>
      <c r="H124" s="8" t="inlineStr">
        <is>
          <t>17_신고서식.md L92</t>
        </is>
      </c>
      <c r="I124" s="4" t="inlineStr">
        <is>
          <t>미확인</t>
        </is>
      </c>
      <c r="J124" s="8" t="inlineStr"/>
      <c r="K124" s="8" t="inlineStr"/>
      <c r="L124" s="7" t="inlineStr"/>
      <c r="M124" s="9" t="inlineStr"/>
      <c r="N124" s="8" t="inlineStr"/>
      <c r="O124" s="10" t="inlineStr">
        <is>
          <t>17|L0092|1</t>
        </is>
      </c>
      <c r="P124" s="10" t="inlineStr">
        <is>
          <t>미확인</t>
        </is>
      </c>
    </row>
    <row r="125">
      <c r="A125" s="7" t="n">
        <v>124</v>
      </c>
      <c r="B125" s="7" t="n">
        <v>17</v>
      </c>
      <c r="C125" s="8" t="inlineStr">
        <is>
          <t>17.3.2 재산세</t>
        </is>
      </c>
      <c r="D125" s="7" t="inlineStr">
        <is>
          <t>🟡 중요</t>
        </is>
      </c>
      <c r="E125" s="8" t="inlineStr">
        <is>
          <t>[검증필요 — 위택스 화면 경로 미조회]</t>
        </is>
      </c>
      <c r="F125" s="8" t="inlineStr">
        <is>
          <t>시행령 §110의2①12호</t>
        </is>
      </c>
      <c r="G125" s="8" t="inlineStr">
        <is>
          <t>별지 제58호의3서식 작성방법 미취득. 최종 개정일 2024.5.28.과 시행령 §110의2①12호 (인구감소관심지역 주택, 2025.12.31. 신설)의 시차로 대응 칸의 반영 여부 미확인</t>
        </is>
      </c>
      <c r="H125" s="8" t="inlineStr">
        <is>
          <t>17_신고서식.md L106</t>
        </is>
      </c>
      <c r="I125" s="4" t="inlineStr">
        <is>
          <t>미확인</t>
        </is>
      </c>
      <c r="J125" s="8" t="inlineStr"/>
      <c r="K125" s="8" t="inlineStr"/>
      <c r="L125" s="7" t="inlineStr"/>
      <c r="M125" s="9" t="inlineStr"/>
      <c r="N125" s="8" t="inlineStr"/>
      <c r="O125" s="10" t="inlineStr">
        <is>
          <t>17|L0093|1</t>
        </is>
      </c>
      <c r="P125" s="10" t="inlineStr">
        <is>
          <t>미확인</t>
        </is>
      </c>
    </row>
    <row r="126">
      <c r="A126" s="2" t="n">
        <v>125</v>
      </c>
      <c r="B126" s="2" t="n">
        <v>17</v>
      </c>
      <c r="C126" s="3" t="inlineStr">
        <is>
          <t>17.3.3 종합부동산세 서식을 관통하는 네 가지 문법</t>
        </is>
      </c>
      <c r="D126" s="2" t="inlineStr">
        <is>
          <t>🟢 보완</t>
        </is>
      </c>
      <c r="E126" s="3" t="inlineStr">
        <is>
          <t>[검증필요 — 별지 제31호 부표 ⑨란 인쇄 산식의 오기 여부]</t>
        </is>
      </c>
      <c r="F126" s="3" t="inlineStr"/>
      <c r="G126" s="3" t="inlineStr">
        <is>
          <t>위택스 화면 경로 미조회</t>
        </is>
      </c>
      <c r="H126" s="3" t="inlineStr">
        <is>
          <t>17_신고서식.md L112</t>
        </is>
      </c>
      <c r="I126" s="4" t="inlineStr">
        <is>
          <t>미확인</t>
        </is>
      </c>
      <c r="J126" s="3" t="inlineStr"/>
      <c r="K126" s="3" t="inlineStr"/>
      <c r="L126" s="2" t="inlineStr"/>
      <c r="M126" s="5" t="inlineStr"/>
      <c r="N126" s="3" t="inlineStr"/>
      <c r="O126" s="6" t="inlineStr">
        <is>
          <t>17|L0106|1</t>
        </is>
      </c>
      <c r="P126" s="6" t="inlineStr">
        <is>
          <t>미확인</t>
        </is>
      </c>
    </row>
    <row r="127">
      <c r="A127" s="11" t="n">
        <v>126</v>
      </c>
      <c r="B127" s="11" t="n">
        <v>17</v>
      </c>
      <c r="C127" s="12" t="inlineStr">
        <is>
          <t>17.3.3 종합부동산세 서식을 관통하는 네 가지 문법</t>
        </is>
      </c>
      <c r="D127" s="11" t="inlineStr">
        <is>
          <t>🔴 최우선</t>
        </is>
      </c>
      <c r="E127" s="12" t="inlineStr">
        <is>
          <t>[검증필요 — 별지 제2호서식(민간임대사업자용) 작성방법 본문 및 합산배제 유형코드 체계 미취득]</t>
        </is>
      </c>
      <c r="F127" s="12" t="inlineStr"/>
      <c r="G127" s="12" t="inlineStr">
        <is>
          <t>별지 제31호 부표 ⑨란 인쇄 산식의 오기 여부</t>
        </is>
      </c>
      <c r="H127" s="12" t="inlineStr">
        <is>
          <t>17_신고서식.md L182</t>
        </is>
      </c>
      <c r="I127" s="4" t="inlineStr">
        <is>
          <t>미확인</t>
        </is>
      </c>
      <c r="J127" s="12" t="inlineStr"/>
      <c r="K127" s="12" t="inlineStr"/>
      <c r="L127" s="11" t="inlineStr"/>
      <c r="M127" s="13" t="inlineStr"/>
      <c r="N127" s="12" t="inlineStr"/>
      <c r="O127" s="14" t="inlineStr">
        <is>
          <t>17|L0112|1</t>
        </is>
      </c>
      <c r="P127" s="14" t="inlineStr">
        <is>
          <t>미확인</t>
        </is>
      </c>
    </row>
    <row r="128">
      <c r="A128" s="7" t="n">
        <v>127</v>
      </c>
      <c r="B128" s="7" t="n">
        <v>17</v>
      </c>
      <c r="C128" s="8" t="inlineStr">
        <is>
          <t>17.4.3 기재요령 재현</t>
        </is>
      </c>
      <c r="D128" s="7" t="inlineStr">
        <is>
          <t>🟡 중요</t>
        </is>
      </c>
      <c r="E128" s="8" t="inlineStr">
        <is>
          <t>[검증필요 — 별지 제2호서식의 최종 개정 연월일 미취득]</t>
        </is>
      </c>
      <c r="F128" s="8" t="inlineStr"/>
      <c r="G128" s="8" t="inlineStr">
        <is>
          <t>별지 제2호서식(민간임대사업자용) 작성방법 본문 및 합산배제 유형코드 체계 미취득</t>
        </is>
      </c>
      <c r="H128" s="8" t="inlineStr">
        <is>
          <t>17_신고서식.md L183</t>
        </is>
      </c>
      <c r="I128" s="4" t="inlineStr">
        <is>
          <t>미확인</t>
        </is>
      </c>
      <c r="J128" s="8" t="inlineStr"/>
      <c r="K128" s="8" t="inlineStr"/>
      <c r="L128" s="7" t="inlineStr"/>
      <c r="M128" s="9" t="inlineStr"/>
      <c r="N128" s="8" t="inlineStr"/>
      <c r="O128" s="10" t="inlineStr">
        <is>
          <t>17|L0182|1</t>
        </is>
      </c>
      <c r="P128" s="10" t="inlineStr">
        <is>
          <t>미확인</t>
        </is>
      </c>
    </row>
    <row r="129">
      <c r="A129" s="7" t="n">
        <v>128</v>
      </c>
      <c r="B129" s="7" t="n">
        <v>17</v>
      </c>
      <c r="C129" s="8" t="inlineStr">
        <is>
          <t>17.4.3 기재요령 재현</t>
        </is>
      </c>
      <c r="D129" s="7" t="inlineStr">
        <is>
          <t>🟡 중요</t>
        </is>
      </c>
      <c r="E129" s="8" t="inlineStr"/>
      <c r="F129" s="8" t="inlineStr"/>
      <c r="G129" s="8" t="inlineStr">
        <is>
          <t>별지 제2호서식의 최종 개정 연월일 미취득</t>
        </is>
      </c>
      <c r="H129" s="8" t="inlineStr">
        <is>
          <t>(원고에서 마커 미발견)</t>
        </is>
      </c>
      <c r="I129" s="4" t="inlineStr">
        <is>
          <t>미확인</t>
        </is>
      </c>
      <c r="J129" s="8" t="inlineStr"/>
      <c r="K129" s="8" t="inlineStr"/>
      <c r="L129" s="7" t="inlineStr"/>
      <c r="M129" s="9" t="inlineStr"/>
      <c r="N129" s="8" t="inlineStr"/>
      <c r="O129" s="10" t="inlineStr">
        <is>
          <t>17|L0183|1</t>
        </is>
      </c>
      <c r="P129" s="10" t="inlineStr">
        <is>
          <t>미확인</t>
        </is>
      </c>
    </row>
    <row r="130">
      <c r="A130" s="7" t="n">
        <v>129</v>
      </c>
      <c r="B130" s="7" t="n">
        <v>17</v>
      </c>
      <c r="C130" s="8" t="inlineStr">
        <is>
          <t>17.4.3 기재요령 재현</t>
        </is>
      </c>
      <c r="D130" s="7" t="inlineStr">
        <is>
          <t>🟡 중요</t>
        </is>
      </c>
      <c r="E130" s="8" t="inlineStr"/>
      <c r="F130" s="8" t="inlineStr">
        <is>
          <t>국세기본법 제45조</t>
        </is>
      </c>
      <c r="G130" s="8" t="inlineStr">
        <is>
          <t>별지 제31호서식 표제부에 「경정청구」 체크박스가 있으나 하단 근거 문구는 국세기본법 제45조·제45조의3만 인용하고 제45조의2를 인용하지 않는다. 서식 정비 여부 확인 필요</t>
        </is>
      </c>
      <c r="H130" s="8" t="inlineStr">
        <is>
          <t>(원고에서 마커 미발견)</t>
        </is>
      </c>
      <c r="I130" s="4" t="inlineStr">
        <is>
          <t>미확인</t>
        </is>
      </c>
      <c r="J130" s="8" t="inlineStr"/>
      <c r="K130" s="8" t="inlineStr"/>
      <c r="L130" s="7" t="inlineStr"/>
      <c r="M130" s="9" t="inlineStr"/>
      <c r="N130" s="8" t="inlineStr"/>
      <c r="O130" s="10" t="inlineStr">
        <is>
          <t>17|L0184|1</t>
        </is>
      </c>
      <c r="P130" s="10" t="inlineStr">
        <is>
          <t>미확인</t>
        </is>
      </c>
    </row>
    <row r="131">
      <c r="A131" s="11" t="n">
        <v>130</v>
      </c>
      <c r="B131" s="11" t="n">
        <v>18</v>
      </c>
      <c r="C131" s="12" t="inlineStr">
        <is>
          <t>18.2.3 사후 시정 수단의 비대칭</t>
        </is>
      </c>
      <c r="D131" s="11" t="inlineStr">
        <is>
          <t>🔴 최우선</t>
        </is>
      </c>
      <c r="E131" s="12" t="inlineStr">
        <is>
          <t>[검증필요 — 보통징수 재산세에 대한 경정청구 가부]</t>
        </is>
      </c>
      <c r="F131" s="12" t="inlineStr"/>
      <c r="G131" s="12" t="inlineStr">
        <is>
          <t>보통징수 재산세에 대한 경정청구 가부</t>
        </is>
      </c>
      <c r="H131" s="12" t="inlineStr">
        <is>
          <t>18_불복_권리구제.md L77</t>
        </is>
      </c>
      <c r="I131" s="4" t="inlineStr">
        <is>
          <t>미확인</t>
        </is>
      </c>
      <c r="J131" s="12" t="inlineStr"/>
      <c r="K131" s="12" t="inlineStr"/>
      <c r="L131" s="11" t="inlineStr"/>
      <c r="M131" s="13" t="inlineStr"/>
      <c r="N131" s="12" t="inlineStr"/>
      <c r="O131" s="14" t="inlineStr">
        <is>
          <t>18|L0077|1</t>
        </is>
      </c>
      <c r="P131" s="14" t="inlineStr">
        <is>
          <t>미확인</t>
        </is>
      </c>
    </row>
    <row r="132">
      <c r="A132" s="2" t="n">
        <v>131</v>
      </c>
      <c r="B132" s="2" t="n">
        <v>18</v>
      </c>
      <c r="C132" s="3" t="inlineStr">
        <is>
          <t>18.4.3 계산 사례</t>
        </is>
      </c>
      <c r="D132" s="2" t="inlineStr">
        <is>
          <t>🟢 보완</t>
        </is>
      </c>
      <c r="E132" s="3" t="inlineStr">
        <is>
          <t>[검증필요 — 1.5배 특례의 적용 대상 기간]</t>
        </is>
      </c>
      <c r="F132" s="3" t="inlineStr"/>
      <c r="G132" s="3" t="inlineStr">
        <is>
          <t>1.5배 특례의 적용 대상 기간</t>
        </is>
      </c>
      <c r="H132" s="3" t="inlineStr">
        <is>
          <t>18_불복_권리구제.md L165</t>
        </is>
      </c>
      <c r="I132" s="4" t="inlineStr">
        <is>
          <t>미확인</t>
        </is>
      </c>
      <c r="J132" s="3" t="inlineStr"/>
      <c r="K132" s="3" t="inlineStr"/>
      <c r="L132" s="2" t="inlineStr"/>
      <c r="M132" s="5" t="inlineStr"/>
      <c r="N132" s="3" t="inlineStr"/>
      <c r="O132" s="6" t="inlineStr">
        <is>
          <t>18|L0165|1</t>
        </is>
      </c>
      <c r="P132" s="6" t="inlineStr">
        <is>
          <t>미확인</t>
        </is>
      </c>
    </row>
    <row r="133">
      <c r="A133" s="2" t="n">
        <v>132</v>
      </c>
      <c r="B133" s="2" t="n">
        <v>18</v>
      </c>
      <c r="C133" s="3" t="inlineStr">
        <is>
          <t>18.4.3 계산 사례</t>
        </is>
      </c>
      <c r="D133" s="2" t="inlineStr">
        <is>
          <t>🟢 보완</t>
        </is>
      </c>
      <c r="E133" s="3" t="inlineStr">
        <is>
          <t>[검증필요 — 환급가산금 계산기간의 종기]</t>
        </is>
      </c>
      <c r="F133" s="3" t="inlineStr"/>
      <c r="G133" s="3" t="inlineStr">
        <is>
          <t>환급가산금 계산기간의 종기</t>
        </is>
      </c>
      <c r="H133" s="3" t="inlineStr">
        <is>
          <t>18_불복_권리구제.md L166</t>
        </is>
      </c>
      <c r="I133" s="4" t="inlineStr">
        <is>
          <t>미확인</t>
        </is>
      </c>
      <c r="J133" s="3" t="inlineStr"/>
      <c r="K133" s="3" t="inlineStr"/>
      <c r="L133" s="2" t="inlineStr"/>
      <c r="M133" s="5" t="inlineStr"/>
      <c r="N133" s="3" t="inlineStr"/>
      <c r="O133" s="6" t="inlineStr">
        <is>
          <t>18|L0166|1</t>
        </is>
      </c>
      <c r="P133" s="6" t="inlineStr">
        <is>
          <t>미확인</t>
        </is>
      </c>
    </row>
    <row r="134">
      <c r="A134" s="7" t="n">
        <v>133</v>
      </c>
      <c r="B134" s="7" t="n">
        <v>18</v>
      </c>
      <c r="C134" s="8" t="inlineStr">
        <is>
          <t>18.4.3 계산 사례</t>
        </is>
      </c>
      <c r="D134" s="7" t="inlineStr">
        <is>
          <t>🟡 중요</t>
        </is>
      </c>
      <c r="E134" s="8" t="inlineStr">
        <is>
          <t>[검증필요 — 원 미만 절사의 근거 규정]</t>
        </is>
      </c>
      <c r="F134" s="8" t="inlineStr"/>
      <c r="G134" s="8" t="inlineStr">
        <is>
          <t>원 미만 절사의 근거 규정</t>
        </is>
      </c>
      <c r="H134" s="8" t="inlineStr">
        <is>
          <t>18_불복_권리구제.md L167</t>
        </is>
      </c>
      <c r="I134" s="4" t="inlineStr">
        <is>
          <t>미확인</t>
        </is>
      </c>
      <c r="J134" s="8" t="inlineStr"/>
      <c r="K134" s="8" t="inlineStr"/>
      <c r="L134" s="7" t="inlineStr"/>
      <c r="M134" s="9" t="inlineStr"/>
      <c r="N134" s="8" t="inlineStr"/>
      <c r="O134" s="10" t="inlineStr">
        <is>
          <t>18|L0167|1</t>
        </is>
      </c>
      <c r="P134" s="10" t="inlineStr">
        <is>
          <t>미확인</t>
        </is>
      </c>
    </row>
    <row r="135">
      <c r="A135" s="2" t="n">
        <v>134</v>
      </c>
      <c r="B135" s="2" t="inlineStr">
        <is>
          <t>부록</t>
        </is>
      </c>
      <c r="C135" s="3" t="inlineStr">
        <is>
          <t>부록 B · 재산세와 종합부동산세 대조표</t>
        </is>
      </c>
      <c r="D135" s="2" t="inlineStr">
        <is>
          <t>🟢 보완</t>
        </is>
      </c>
      <c r="E135" s="3" t="inlineStr">
        <is>
          <t>[검증필요]</t>
        </is>
      </c>
      <c r="F135" s="3" t="inlineStr"/>
      <c r="G135" s="3" t="inlineStr">
        <is>
          <t>(→ 제18장)</t>
        </is>
      </c>
      <c r="H135" s="3" t="inlineStr">
        <is>
          <t>99_부록.md L43</t>
        </is>
      </c>
      <c r="I135" s="4" t="inlineStr">
        <is>
          <t>미확인</t>
        </is>
      </c>
      <c r="J135" s="3" t="inlineStr"/>
      <c r="K135" s="3" t="inlineStr"/>
      <c r="L135" s="2" t="inlineStr"/>
      <c r="M135" s="5" t="inlineStr"/>
      <c r="N135" s="3" t="inlineStr"/>
      <c r="O135" s="6" t="inlineStr">
        <is>
          <t>부록|L0043|1</t>
        </is>
      </c>
      <c r="P135" s="6" t="inlineStr">
        <is>
          <t>미확인</t>
        </is>
      </c>
    </row>
    <row r="136">
      <c r="A136" s="11" t="n">
        <v>135</v>
      </c>
      <c r="B136" s="11" t="inlineStr">
        <is>
          <t>부록</t>
        </is>
      </c>
      <c r="C136" s="12" t="inlineStr">
        <is>
          <t>C-3. 비율·공제·한도 총괄</t>
        </is>
      </c>
      <c r="D136" s="11" t="inlineStr">
        <is>
          <t>🔴 최우선</t>
        </is>
      </c>
      <c r="E136" s="12" t="inlineStr">
        <is>
          <t>[검증필요]</t>
        </is>
      </c>
      <c r="F136" s="12" t="inlineStr">
        <is>
          <t>§111의2</t>
        </is>
      </c>
      <c r="G136" s="12" t="inlineStr">
        <is>
          <t>재산세 1세대 1주택 세율 특례(§111의2)의 적용 종료일과 연장 여부는 확정하지 못했다.</t>
        </is>
      </c>
      <c r="H136" s="12" t="inlineStr">
        <is>
          <t>99_부록.md L114</t>
        </is>
      </c>
      <c r="I136" s="4" t="inlineStr">
        <is>
          <t>미확인</t>
        </is>
      </c>
      <c r="J136" s="12" t="inlineStr"/>
      <c r="K136" s="12" t="inlineStr"/>
      <c r="L136" s="11" t="inlineStr"/>
      <c r="M136" s="13" t="inlineStr"/>
      <c r="N136" s="12" t="inlineStr"/>
      <c r="O136" s="14" t="inlineStr">
        <is>
          <t>부록|L0114|1</t>
        </is>
      </c>
      <c r="P136" s="14" t="inlineStr">
        <is>
          <t>미확인</t>
        </is>
      </c>
    </row>
    <row r="137">
      <c r="A137" s="7" t="n">
        <v>136</v>
      </c>
      <c r="B137" s="7" t="inlineStr">
        <is>
          <t>부록</t>
        </is>
      </c>
      <c r="C137" s="8" t="inlineStr">
        <is>
          <t>부록 D · 신고·신청 서식 일람</t>
        </is>
      </c>
      <c r="D137" s="7" t="inlineStr">
        <is>
          <t>🟡 중요</t>
        </is>
      </c>
      <c r="E137" s="8" t="inlineStr">
        <is>
          <t>[검증필요 — 서식 본문 미취득]</t>
        </is>
      </c>
      <c r="F137" s="8" t="inlineStr"/>
      <c r="G137" s="8" t="inlineStr">
        <is>
          <t>서식 본문 미취득</t>
        </is>
      </c>
      <c r="H137" s="8" t="inlineStr">
        <is>
          <t>99_부록.md L146</t>
        </is>
      </c>
      <c r="I137" s="4" t="inlineStr">
        <is>
          <t>미확인</t>
        </is>
      </c>
      <c r="J137" s="8" t="inlineStr"/>
      <c r="K137" s="8" t="inlineStr"/>
      <c r="L137" s="7" t="inlineStr"/>
      <c r="M137" s="9" t="inlineStr"/>
      <c r="N137" s="8" t="inlineStr"/>
      <c r="O137" s="10" t="inlineStr">
        <is>
          <t>부록|L0146|1</t>
        </is>
      </c>
      <c r="P137" s="10" t="inlineStr">
        <is>
          <t>미확인</t>
        </is>
      </c>
    </row>
    <row r="138">
      <c r="A138" s="2" t="n">
        <v>137</v>
      </c>
      <c r="B138" s="2" t="inlineStr">
        <is>
          <t>부록</t>
        </is>
      </c>
      <c r="C138" s="3" t="inlineStr">
        <is>
          <t>부록 F · FAQ</t>
        </is>
      </c>
      <c r="D138" s="2" t="inlineStr">
        <is>
          <t>🟢 보완</t>
        </is>
      </c>
      <c r="E138" s="3" t="inlineStr">
        <is>
          <t>[검증필요]</t>
        </is>
      </c>
      <c r="F138" s="3" t="inlineStr"/>
      <c r="G138" s="3" t="inlineStr">
        <is>
          <t>(사유 미기재 — 원고 확인 필요)</t>
        </is>
      </c>
      <c r="H138" s="3" t="inlineStr">
        <is>
          <t>99_부록.md L209</t>
        </is>
      </c>
      <c r="I138" s="4" t="inlineStr">
        <is>
          <t>미확인</t>
        </is>
      </c>
      <c r="J138" s="3" t="inlineStr"/>
      <c r="K138" s="3" t="inlineStr"/>
      <c r="L138" s="2" t="inlineStr"/>
      <c r="M138" s="5" t="inlineStr"/>
      <c r="N138" s="3" t="inlineStr"/>
      <c r="O138" s="6" t="inlineStr">
        <is>
          <t>부록|L0209|1</t>
        </is>
      </c>
      <c r="P138" s="6" t="inlineStr">
        <is>
          <t>미확인</t>
        </is>
      </c>
    </row>
    <row r="139">
      <c r="A139" s="2" t="n">
        <v>138</v>
      </c>
      <c r="B139" s="2" t="inlineStr">
        <is>
          <t>부록</t>
        </is>
      </c>
      <c r="C139" s="3" t="inlineStr">
        <is>
          <t>부록 G · 개정 예고</t>
        </is>
      </c>
      <c r="D139" s="2" t="inlineStr">
        <is>
          <t>🟢 보완</t>
        </is>
      </c>
      <c r="E139" s="3" t="inlineStr">
        <is>
          <t>[검증필요 — 입법 경과]</t>
        </is>
      </c>
      <c r="F139" s="3" t="inlineStr"/>
      <c r="G139" s="3" t="inlineStr">
        <is>
          <t>입법 경과</t>
        </is>
      </c>
      <c r="H139" s="3" t="inlineStr">
        <is>
          <t>99_부록.md L231</t>
        </is>
      </c>
      <c r="I139" s="4" t="inlineStr">
        <is>
          <t>미확인</t>
        </is>
      </c>
      <c r="J139" s="3" t="inlineStr"/>
      <c r="K139" s="3" t="inlineStr"/>
      <c r="L139" s="2" t="inlineStr"/>
      <c r="M139" s="5" t="inlineStr"/>
      <c r="N139" s="3" t="inlineStr"/>
      <c r="O139" s="6" t="inlineStr">
        <is>
          <t>부록|L0231|1</t>
        </is>
      </c>
      <c r="P139" s="6" t="inlineStr">
        <is>
          <t>미확인</t>
        </is>
      </c>
    </row>
  </sheetData>
  <autoFilter ref="A1:N139"/>
  <conditionalFormatting sqref="A2:N139">
    <cfRule type="expression" priority="1" dxfId="0">
      <formula>$I2="확인완료"</formula>
    </cfRule>
    <cfRule type="expression" priority="2" dxfId="1">
      <formula>$I2="수정필요"</formula>
    </cfRule>
  </conditionalFormatting>
  <dataValidations count="1">
    <dataValidation sqref="I2:I139" showDropDown="0" showInputMessage="0" showErrorMessage="0" allowBlank="1" errorTitle="상태 값 확인" error="목록에서 고르세요: 미확인 / 확인중 / 확인완료 / 수정필요 / 해당없음" promptTitle="상태" prompt="미확인 → 확인중 → 확인완료 / 원고 수정이 필요하면 수정필요" type="list">
      <formula1>"미확인,확인중,확인완료,수정필요,해당없음"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11" customWidth="1" min="8" max="8"/>
    <col width="11" customWidth="1" min="9" max="9"/>
    <col width="60" customWidth="1" min="10" max="10"/>
  </cols>
  <sheetData>
    <row r="1">
      <c r="A1" s="15" t="inlineStr">
        <is>
          <t>원문 대조 진행 현황</t>
        </is>
      </c>
    </row>
    <row r="2">
      <c r="A2" s="16" t="inlineStr">
        <is>
          <t>상태 열(① 작업표 I열)을 채우면 아래 수치·진행률이 자동으로 갱신된다.</t>
        </is>
      </c>
    </row>
    <row r="4">
      <c r="A4" s="17" t="inlineStr">
        <is>
          <t>■ 전체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</row>
    <row r="5">
      <c r="A5" s="19" t="inlineStr">
        <is>
          <t>총 등재 건수</t>
        </is>
      </c>
      <c r="C5" s="20">
        <f>COUNTA('① 작업표'!$A$2:$A$2000)</f>
        <v/>
      </c>
    </row>
    <row r="6">
      <c r="A6" s="19" t="inlineStr">
        <is>
          <t>확인완료</t>
        </is>
      </c>
      <c r="C6" s="20">
        <f>COUNTIF('① 작업표'!$I$2:$I$2000,"확인완료")</f>
        <v/>
      </c>
    </row>
    <row r="7">
      <c r="A7" s="19" t="inlineStr">
        <is>
          <t>확인중</t>
        </is>
      </c>
      <c r="C7" s="20">
        <f>COUNTIF('① 작업표'!$I$2:$I$2000,"확인중")</f>
        <v/>
      </c>
    </row>
    <row r="8">
      <c r="A8" s="19" t="inlineStr">
        <is>
          <t>미확인</t>
        </is>
      </c>
      <c r="C8" s="20">
        <f>COUNTIF('① 작업표'!$I$2:$I$2000,"미확인")</f>
        <v/>
      </c>
    </row>
    <row r="9">
      <c r="A9" s="19" t="inlineStr">
        <is>
          <t>수정필요</t>
        </is>
      </c>
      <c r="C9" s="20">
        <f>COUNTIF('① 작업표'!$I$2:$I$2000,"수정필요")</f>
        <v/>
      </c>
    </row>
    <row r="10">
      <c r="A10" s="19" t="inlineStr">
        <is>
          <t>해당없음(표기용)</t>
        </is>
      </c>
      <c r="C10" s="20">
        <f>COUNTIF('① 작업표'!$I$2:$I$2000,"해당없음")</f>
        <v/>
      </c>
    </row>
    <row r="11">
      <c r="A11" s="19" t="inlineStr">
        <is>
          <t>전체 진행률</t>
        </is>
      </c>
      <c r="C11" s="21">
        <f>IFERROR(COUNTIF('① 작업표'!$I$2:$I$2000,"확인완료")/(COUNTA('① 작업표'!$A$2:$A$2000)-COUNTIF('① 작업표'!$I$2:$I$2000,"해당없음")),"")</f>
        <v/>
      </c>
      <c r="J11" s="16" t="inlineStr">
        <is>
          <t>분모는 ⚪ 표기용 10건을 뺀 실제 검증 대상 기준</t>
        </is>
      </c>
    </row>
    <row r="12">
      <c r="A12" s="22" t="inlineStr">
        <is>
          <t>🔴 최우선 진행률</t>
        </is>
      </c>
      <c r="C12" s="21">
        <f>IFERROR(COUNTIFS('① 작업표'!$D$2:$D$2000,"🔴 최우선",'① 작업표'!$I$2:$I$2000,"확인완료")/COUNTIF('① 작업표'!$D$2:$D$2000,"🔴 최우선"),"")</f>
        <v/>
      </c>
      <c r="J12" s="22" t="inlineStr">
        <is>
          <t>🔴은 어떤 경우에도 미해소 상태로 출판하지 말 것 (체크리스트 §0.2)</t>
        </is>
      </c>
    </row>
    <row r="14">
      <c r="A14" s="17" t="inlineStr">
        <is>
          <t>■ 우선순위별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</row>
    <row r="15" ht="30" customHeight="1">
      <c r="A15" s="1" t="inlineStr">
        <is>
          <t>우선순위</t>
        </is>
      </c>
      <c r="B15" s="1" t="inlineStr">
        <is>
          <t>기준 — 틀렸을 때의 결과</t>
        </is>
      </c>
      <c r="C15" s="1" t="inlineStr">
        <is>
          <t>등재</t>
        </is>
      </c>
      <c r="D15" s="1" t="inlineStr">
        <is>
          <t>확인완료</t>
        </is>
      </c>
      <c r="E15" s="1" t="inlineStr">
        <is>
          <t>확인중</t>
        </is>
      </c>
      <c r="F15" s="1" t="inlineStr">
        <is>
          <t>미확인</t>
        </is>
      </c>
      <c r="G15" s="1" t="inlineStr">
        <is>
          <t>수정필요</t>
        </is>
      </c>
      <c r="H15" s="1" t="inlineStr">
        <is>
          <t>해당없음</t>
        </is>
      </c>
      <c r="I15" s="1" t="inlineStr">
        <is>
          <t>진행률</t>
        </is>
      </c>
      <c r="J15" s="1" t="inlineStr"/>
    </row>
    <row r="16">
      <c r="A16" s="23" t="inlineStr">
        <is>
          <t>🔴 최우선</t>
        </is>
      </c>
      <c r="B16" s="24" t="inlineStr">
        <is>
          <t>금액·세율·한도·비율·요건 연수·산식 — 세액이 틀어진다</t>
        </is>
      </c>
      <c r="C16" s="25">
        <f>COUNTIF('① 작업표'!$D$2:$D$2000,"🔴 최우선")</f>
        <v/>
      </c>
      <c r="D16" s="25">
        <f>COUNTIFS('① 작업표'!$D$2:$D$2000,"🔴 최우선",'① 작업표'!$I$2:$I$2000,"확인완료")</f>
        <v/>
      </c>
      <c r="E16" s="25">
        <f>COUNTIFS('① 작업표'!$D$2:$D$2000,"🔴 최우선",'① 작업표'!$I$2:$I$2000,"확인중")</f>
        <v/>
      </c>
      <c r="F16" s="25">
        <f>COUNTIFS('① 작업표'!$D$2:$D$2000,"🔴 최우선",'① 작업표'!$I$2:$I$2000,"미확인")</f>
        <v/>
      </c>
      <c r="G16" s="25">
        <f>COUNTIFS('① 작업표'!$D$2:$D$2000,"🔴 최우선",'① 작업표'!$I$2:$I$2000,"수정필요")</f>
        <v/>
      </c>
      <c r="H16" s="25">
        <f>COUNTIFS('① 작업표'!$D$2:$D$2000,"🔴 최우선",'① 작업표'!$I$2:$I$2000,"해당없음")</f>
        <v/>
      </c>
      <c r="I16" s="26">
        <f>IFERROR(D16/(C16-H16),"")</f>
        <v/>
      </c>
    </row>
    <row r="17">
      <c r="A17" s="27" t="inlineStr">
        <is>
          <t>🟡 중요</t>
        </is>
      </c>
      <c r="B17" s="24" t="inlineStr">
        <is>
          <t>조문번호·항·호 배치, 법문 축자 표현, 준용 관계 — 인용이 틀린다</t>
        </is>
      </c>
      <c r="C17" s="25">
        <f>COUNTIF('① 작업표'!$D$2:$D$2000,"🟡 중요")</f>
        <v/>
      </c>
      <c r="D17" s="25">
        <f>COUNTIFS('① 작업표'!$D$2:$D$2000,"🟡 중요",'① 작업표'!$I$2:$I$2000,"확인완료")</f>
        <v/>
      </c>
      <c r="E17" s="25">
        <f>COUNTIFS('① 작업표'!$D$2:$D$2000,"🟡 중요",'① 작업표'!$I$2:$I$2000,"확인중")</f>
        <v/>
      </c>
      <c r="F17" s="25">
        <f>COUNTIFS('① 작업표'!$D$2:$D$2000,"🟡 중요",'① 작업표'!$I$2:$I$2000,"미확인")</f>
        <v/>
      </c>
      <c r="G17" s="25">
        <f>COUNTIFS('① 작업표'!$D$2:$D$2000,"🟡 중요",'① 작업표'!$I$2:$I$2000,"수정필요")</f>
        <v/>
      </c>
      <c r="H17" s="25">
        <f>COUNTIFS('① 작업표'!$D$2:$D$2000,"🟡 중요",'① 작업표'!$I$2:$I$2000,"해당없음")</f>
        <v/>
      </c>
      <c r="I17" s="26">
        <f>IFERROR(D17/(C17-H17),"")</f>
        <v/>
      </c>
    </row>
    <row r="18">
      <c r="A18" s="28" t="inlineStr">
        <is>
          <t>🟢 보완</t>
        </is>
      </c>
      <c r="B18" s="24" t="inlineStr">
        <is>
          <t>예규·판례 사건번호, 서식 명칭, 절차·통계 — 신뢰도가 깎인다</t>
        </is>
      </c>
      <c r="C18" s="25">
        <f>COUNTIF('① 작업표'!$D$2:$D$2000,"🟢 보완")</f>
        <v/>
      </c>
      <c r="D18" s="25">
        <f>COUNTIFS('① 작업표'!$D$2:$D$2000,"🟢 보완",'① 작업표'!$I$2:$I$2000,"확인완료")</f>
        <v/>
      </c>
      <c r="E18" s="25">
        <f>COUNTIFS('① 작업표'!$D$2:$D$2000,"🟢 보완",'① 작업표'!$I$2:$I$2000,"확인중")</f>
        <v/>
      </c>
      <c r="F18" s="25">
        <f>COUNTIFS('① 작업표'!$D$2:$D$2000,"🟢 보완",'① 작업표'!$I$2:$I$2000,"미확인")</f>
        <v/>
      </c>
      <c r="G18" s="25">
        <f>COUNTIFS('① 작업표'!$D$2:$D$2000,"🟢 보완",'① 작업표'!$I$2:$I$2000,"수정필요")</f>
        <v/>
      </c>
      <c r="H18" s="25">
        <f>COUNTIFS('① 작업표'!$D$2:$D$2000,"🟢 보완",'① 작업표'!$I$2:$I$2000,"해당없음")</f>
        <v/>
      </c>
      <c r="I18" s="26">
        <f>IFERROR(D18/(C18-H18),"")</f>
        <v/>
      </c>
    </row>
    <row r="19">
      <c r="A19" s="29" t="inlineStr">
        <is>
          <t>⚪ 표기</t>
        </is>
      </c>
      <c r="B19" s="24" t="inlineStr">
        <is>
          <t>표기 설명·상호참조 — 원문 조회 대상이 아니며 마커를 지우지 말 것</t>
        </is>
      </c>
      <c r="C19" s="25">
        <f>COUNTIF('① 작업표'!$D$2:$D$2000,"⚪ 표기")</f>
        <v/>
      </c>
      <c r="D19" s="25">
        <f>COUNTIFS('① 작업표'!$D$2:$D$2000,"⚪ 표기",'① 작업표'!$I$2:$I$2000,"확인완료")</f>
        <v/>
      </c>
      <c r="E19" s="25">
        <f>COUNTIFS('① 작업표'!$D$2:$D$2000,"⚪ 표기",'① 작업표'!$I$2:$I$2000,"확인중")</f>
        <v/>
      </c>
      <c r="F19" s="25">
        <f>COUNTIFS('① 작업표'!$D$2:$D$2000,"⚪ 표기",'① 작업표'!$I$2:$I$2000,"미확인")</f>
        <v/>
      </c>
      <c r="G19" s="25">
        <f>COUNTIFS('① 작업표'!$D$2:$D$2000,"⚪ 표기",'① 작업표'!$I$2:$I$2000,"수정필요")</f>
        <v/>
      </c>
      <c r="H19" s="25">
        <f>COUNTIFS('① 작업표'!$D$2:$D$2000,"⚪ 표기",'① 작업표'!$I$2:$I$2000,"해당없음")</f>
        <v/>
      </c>
      <c r="I19" s="26">
        <f>IFERROR(D19/(C19-H19),"")</f>
        <v/>
      </c>
    </row>
    <row r="21">
      <c r="A21" s="17" t="inlineStr">
        <is>
          <t>■ 장별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</row>
    <row r="22" ht="30" customHeight="1">
      <c r="A22" s="1" t="inlineStr">
        <is>
          <t>장</t>
        </is>
      </c>
      <c r="B22" s="1" t="inlineStr">
        <is>
          <t>제목(약칭)</t>
        </is>
      </c>
      <c r="C22" s="1" t="inlineStr">
        <is>
          <t>마커</t>
        </is>
      </c>
      <c r="D22" s="1" t="inlineStr">
        <is>
          <t>🔴</t>
        </is>
      </c>
      <c r="E22" s="1" t="inlineStr">
        <is>
          <t>🟡</t>
        </is>
      </c>
      <c r="F22" s="1" t="inlineStr">
        <is>
          <t>🟢</t>
        </is>
      </c>
      <c r="G22" s="1" t="inlineStr">
        <is>
          <t>⚪</t>
        </is>
      </c>
      <c r="H22" s="1" t="inlineStr">
        <is>
          <t>확인완료</t>
        </is>
      </c>
      <c r="I22" s="1" t="inlineStr">
        <is>
          <t>진행률</t>
        </is>
      </c>
      <c r="J22" s="1" t="inlineStr">
        <is>
          <t>집중 검증 권고</t>
        </is>
      </c>
    </row>
    <row r="23">
      <c r="A23" s="30" t="inlineStr">
        <is>
          <t>합계</t>
        </is>
      </c>
      <c r="B23" s="31" t="n"/>
      <c r="C23" s="32">
        <f>SUM(C23:C22)</f>
        <v/>
      </c>
      <c r="D23" s="32">
        <f>SUM(D23:D22)</f>
        <v/>
      </c>
      <c r="E23" s="32">
        <f>SUM(E23:E22)</f>
        <v/>
      </c>
      <c r="F23" s="32">
        <f>SUM(F23:F22)</f>
        <v/>
      </c>
      <c r="G23" s="32">
        <f>SUM(G23:G22)</f>
        <v/>
      </c>
      <c r="H23" s="32">
        <f>SUM(H23:H22)</f>
        <v/>
      </c>
      <c r="I23" s="33">
        <f>IFERROR(H23/(C23-G23),"")</f>
        <v/>
      </c>
    </row>
    <row r="25">
      <c r="A25" s="17" t="inlineStr">
        <is>
          <t>■ 집중 검증 권고 장 — 여기부터 시작하라 (체크리스트 §0.4)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</row>
    <row r="26" ht="30" customHeight="1">
      <c r="A26" s="1" t="inlineStr">
        <is>
          <t>상태</t>
        </is>
      </c>
      <c r="B26" s="1" t="inlineStr">
        <is>
          <t>우선순위</t>
        </is>
      </c>
      <c r="C26" s="1" t="inlineStr">
        <is>
          <t>내용</t>
        </is>
      </c>
      <c r="D26" s="1" t="inlineStr"/>
      <c r="E26" s="1" t="inlineStr"/>
      <c r="F26" s="1" t="inlineStr"/>
      <c r="G26" s="1" t="inlineStr"/>
      <c r="H26" s="1" t="inlineStr"/>
      <c r="I26" s="1" t="inlineStr"/>
      <c r="J26" s="1" t="inlineStr"/>
    </row>
    <row r="28">
      <c r="A28" s="17" t="inlineStr">
        <is>
          <t>■ 전 장 공통 — 1회 스캔으로 끝내는 작업 (체크리스트 §0.5)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</row>
    <row r="29" ht="30" customHeight="1">
      <c r="A29" s="1" t="inlineStr">
        <is>
          <t>상태</t>
        </is>
      </c>
      <c r="B29" s="1" t="inlineStr">
        <is>
          <t>우선순위</t>
        </is>
      </c>
      <c r="C29" s="1" t="inlineStr">
        <is>
          <t>내용</t>
        </is>
      </c>
      <c r="D29" s="1" t="inlineStr"/>
      <c r="E29" s="1" t="inlineStr"/>
      <c r="F29" s="1" t="inlineStr"/>
      <c r="G29" s="1" t="inlineStr"/>
      <c r="H29" s="1" t="inlineStr"/>
      <c r="I29" s="1" t="inlineStr"/>
      <c r="J29" s="1" t="inlineStr"/>
    </row>
    <row r="31">
      <c r="A31" s="17" t="inlineStr">
        <is>
          <t>■ 보완 과제 — 마커 외 (체크리스트 §4)</t>
        </is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</row>
    <row r="32" ht="30" customHeight="1">
      <c r="A32" s="1" t="inlineStr">
        <is>
          <t>상태</t>
        </is>
      </c>
      <c r="B32" s="1" t="inlineStr">
        <is>
          <t>우선순위</t>
        </is>
      </c>
      <c r="C32" s="1" t="inlineStr">
        <is>
          <t>내용</t>
        </is>
      </c>
      <c r="D32" s="1" t="inlineStr"/>
      <c r="E32" s="1" t="inlineStr"/>
      <c r="F32" s="1" t="inlineStr"/>
      <c r="G32" s="1" t="inlineStr"/>
      <c r="H32" s="1" t="inlineStr"/>
      <c r="I32" s="1" t="inlineStr"/>
      <c r="J32" s="1" t="inlineStr"/>
    </row>
    <row r="34">
      <c r="A34" s="17" t="inlineStr">
        <is>
          <t>■ 개정 감시 항목 — 매 세션·매 개정판 재확인 (체크리스트 §2)</t>
        </is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</row>
    <row r="35">
      <c r="A35" s="16" t="inlineStr">
        <is>
          <t>출판 직전 이 블록을 다시 돌릴 것. 검증 시점과 출판 시점 사이에 개정이 끼면 검증 결과는 무효가 된다.</t>
        </is>
      </c>
    </row>
    <row r="36" ht="30" customHeight="1">
      <c r="A36" s="1" t="inlineStr">
        <is>
          <t>상태</t>
        </is>
      </c>
      <c r="B36" s="1" t="inlineStr">
        <is>
          <t>우선순위</t>
        </is>
      </c>
      <c r="C36" s="1" t="inlineStr">
        <is>
          <t>내용</t>
        </is>
      </c>
      <c r="D36" s="1" t="inlineStr"/>
      <c r="E36" s="1" t="inlineStr"/>
      <c r="F36" s="1" t="inlineStr"/>
      <c r="G36" s="1" t="inlineStr"/>
      <c r="H36" s="1" t="inlineStr"/>
      <c r="I36" s="1" t="inlineStr"/>
      <c r="J3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86" customWidth="1" min="3" max="3"/>
    <col width="26" customWidth="1" min="4" max="4"/>
    <col width="26" customWidth="1" min="5" max="5"/>
  </cols>
  <sheetData>
    <row r="1" ht="30" customHeight="1">
      <c r="A1" s="1" t="inlineStr">
        <is>
          <t>절</t>
        </is>
      </c>
      <c r="B1" s="1" t="inlineStr">
        <is>
          <t>구분</t>
        </is>
      </c>
      <c r="C1" s="1" t="inlineStr">
        <is>
          <t>내용 / URL / 값</t>
        </is>
      </c>
      <c r="D1" s="1" t="inlineStr"/>
      <c r="E1" s="1" t="inlineStr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96" customWidth="1" min="3" max="3"/>
    <col width="40" customWidth="1" min="4" max="4"/>
    <col width="28" customWidth="1" min="5" max="5"/>
  </cols>
  <sheetData>
    <row r="1" ht="30" customHeight="1">
      <c r="A1" s="1" t="inlineStr">
        <is>
          <t>구분</t>
        </is>
      </c>
      <c r="B1" s="1" t="inlineStr">
        <is>
          <t>분류</t>
        </is>
      </c>
      <c r="C1" s="1" t="inlineStr">
        <is>
          <t>확정 사항 — 재검증 대상 아님</t>
        </is>
      </c>
      <c r="D1" s="1" t="inlineStr">
        <is>
          <t>출처</t>
        </is>
      </c>
      <c r="E1" s="1" t="inlineStr">
        <is>
          <t>비고</t>
        </is>
      </c>
    </row>
    <row r="2">
      <c r="A2" s="16" t="inlineStr">
        <is>
          <t>여기 적힌 것은 원문 대조가 끝난 사실이다. 원고가 이와 다르게 쓰고 있다면 원고가 틀린 것이다. 재검토 시 중복 작업을 막는 용도.</t>
        </is>
      </c>
    </row>
    <row r="3">
      <c r="A3" s="17" t="inlineStr">
        <is>
          <t>■ 근거 파일 — 05_review/verify_*.md (1차 출처 취득 성공분)</t>
        </is>
      </c>
      <c r="B3" s="18" t="n"/>
      <c r="C3" s="18" t="n"/>
      <c r="D3" s="18" t="n"/>
      <c r="E3" s="18" t="n"/>
    </row>
    <row r="5">
      <c r="A5" s="17" t="inlineStr">
        <is>
          <t>■ verify 확정 사항 — 원고 반영 확인 대상 (체크리스트 §3)</t>
        </is>
      </c>
      <c r="B5" s="18" t="n"/>
      <c r="C5" s="18" t="n"/>
      <c r="D5" s="18" t="n"/>
      <c r="E5" s="18" t="n"/>
    </row>
    <row r="7">
      <c r="A7" s="17" t="inlineStr">
        <is>
          <t>■ 확인 완료 — 그대로 사용 가능한 사실 (체크리스트 §7)</t>
        </is>
      </c>
      <c r="B7" s="18" t="n"/>
      <c r="C7" s="18" t="n"/>
      <c r="D7" s="18" t="n"/>
      <c r="E7" s="18" t="n"/>
    </row>
    <row r="9">
      <c r="A9" s="17" t="inlineStr">
        <is>
          <t>■ 기존 체크리스트에서 해소된 항목 (체크리스트 §6 — 이력)</t>
        </is>
      </c>
      <c r="B9" s="18" t="n"/>
      <c r="C9" s="18" t="n"/>
      <c r="D9" s="18" t="n"/>
      <c r="E9" s="18" t="n"/>
    </row>
  </sheetData>
  <autoFilter ref="A1:E10"/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2026-08-17T00:45:14Z</dcterms:created>
  <dcterms:modified xmlns:dcterms="http://purl.org/dc/terms/" xmlns:xsi="http://www.w3.org/2001/XMLSchema-instance" xsi:type="dcterms:W3CDTF">2026-08-17T00:45:15Z</dcterms:modified>
</cp:coreProperties>
</file>