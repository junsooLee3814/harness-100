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작업표" sheetId="1" state="visible" r:id="rId1"/>
    <sheet xmlns:r="http://schemas.openxmlformats.org/officeDocument/2006/relationships" name="② 요약" sheetId="2" state="visible" r:id="rId2"/>
    <sheet xmlns:r="http://schemas.openxmlformats.org/officeDocument/2006/relationships" name="③ 확인 방법" sheetId="3" state="visible" r:id="rId3"/>
    <sheet xmlns:r="http://schemas.openxmlformats.org/officeDocument/2006/relationships" name="④ 확인 완료 이력" sheetId="4" state="visible" r:id="rId4"/>
    <sheet xmlns:r="http://schemas.openxmlformats.org/officeDocument/2006/relationships" name="⑤ 조문 인용 색인" sheetId="5" state="visible" r:id="rId5"/>
    <sheet xmlns:r="http://schemas.openxmlformats.org/officeDocument/2006/relationships" name="⑥ 핵심 수치 30선" sheetId="6" state="visible" r:id="rId6"/>
  </sheets>
  <definedNames>
    <definedName name="_xlnm._FilterDatabase" localSheetId="0" hidden="1">'① 작업표'!$A$1:$N$155</definedName>
    <definedName name="_xlnm._FilterDatabase" localSheetId="2" hidden="1">'③ 확인 방법'!$A$1:$E$37</definedName>
    <definedName name="_xlnm._FilterDatabase" localSheetId="3" hidden="1">'④ 확인 완료 이력'!$A$1:$E$90</definedName>
    <definedName name="_xlnm._FilterDatabase" localSheetId="4" hidden="1">'⑤ 조문 인용 색인'!$A$1:$D$153</definedName>
    <definedName name="_xlnm._FilterDatabase" localSheetId="5" hidden="1">'⑥ 핵심 수치 30선'!$A$1:$E$33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1F3864"/>
      <sz val="14"/>
    </font>
    <font>
      <color rgb="00808080"/>
      <sz val="9"/>
    </font>
    <font>
      <b val="1"/>
      <color rgb="001F3864"/>
      <sz val="10"/>
    </font>
    <font>
      <b val="1"/>
      <sz val="10"/>
    </font>
    <font>
      <b val="1"/>
      <color rgb="00C00000"/>
      <sz val="10"/>
    </font>
    <font>
      <name val="Consolas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6DD"/>
      </patternFill>
    </fill>
    <fill>
      <patternFill patternType="solid">
        <fgColor rgb="00EAF4E6"/>
      </patternFill>
    </fill>
    <fill>
      <patternFill patternType="solid">
        <fgColor rgb="00F0F0F0"/>
      </patternFill>
    </fill>
    <fill>
      <patternFill patternType="solid">
        <fgColor rgb="00FCE7E7"/>
      </patternFill>
    </fill>
    <fill>
      <patternFill patternType="solid">
        <fgColor rgb="00D9E2F3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164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164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164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  <xf numFmtId="164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7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7" fillId="0" borderId="0" pivotButton="0" quotePrefix="0" xfId="0"/>
    <xf numFmtId="0" fontId="0" fillId="6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165" fontId="0" fillId="8" borderId="1" applyAlignment="1" pivotButton="0" quotePrefix="0" xfId="0">
      <alignment horizontal="center"/>
    </xf>
    <xf numFmtId="0" fontId="7" fillId="0" borderId="1" applyAlignment="1" pivotButton="0" quotePrefix="0" xfId="0">
      <alignment vertical="center" wrapText="1"/>
    </xf>
    <xf numFmtId="0" fontId="6" fillId="7" borderId="1" pivotButton="0" quotePrefix="0" xfId="0"/>
    <xf numFmtId="0" fontId="0" fillId="7" borderId="1" pivotButton="0" quotePrefix="0" xfId="0"/>
    <xf numFmtId="0" fontId="6" fillId="7" borderId="1" applyAlignment="1" pivotButton="0" quotePrefix="0" xfId="0">
      <alignment horizontal="center"/>
    </xf>
    <xf numFmtId="165" fontId="6" fillId="7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5A7A55"/>
        <sz val="10"/>
      </font>
      <fill>
        <patternFill patternType="solid">
          <fgColor rgb="00D6ECD2"/>
        </patternFill>
      </fill>
    </dxf>
    <dxf>
      <font>
        <b val="1"/>
        <sz val="10"/>
      </font>
      <fill>
        <patternFill patternType="solid">
          <fgColor rgb="00FBD5B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6" customWidth="1" min="2" max="2"/>
    <col width="28" customWidth="1" min="3" max="3"/>
    <col width="11" customWidth="1" min="4" max="4"/>
    <col width="58" customWidth="1" min="5" max="5"/>
    <col width="30" customWidth="1" min="6" max="6"/>
    <col width="74" customWidth="1" min="7" max="7"/>
    <col width="24" customWidth="1" min="8" max="8"/>
    <col width="10" customWidth="1" min="9" max="9"/>
    <col width="34" customWidth="1" min="10" max="10"/>
    <col width="28" customWidth="1" min="11" max="11"/>
    <col width="9" customWidth="1" min="12" max="12"/>
    <col width="12" customWidth="1" min="13" max="13"/>
    <col width="40" customWidth="1" min="14" max="14"/>
    <col hidden="1" width="11" customWidth="1" min="15" max="15"/>
    <col hidden="1" width="11" customWidth="1" min="16" max="16"/>
  </cols>
  <sheetData>
    <row r="1" ht="30" customHeight="1">
      <c r="A1" s="1" t="inlineStr">
        <is>
          <t>연번</t>
        </is>
      </c>
      <c r="B1" s="1" t="inlineStr">
        <is>
          <t>장</t>
        </is>
      </c>
      <c r="C1" s="1" t="inlineStr">
        <is>
          <t>절·위치</t>
        </is>
      </c>
      <c r="D1" s="1" t="inlineStr">
        <is>
          <t>우선순위</t>
        </is>
      </c>
      <c r="E1" s="1" t="inlineStr">
        <is>
          <t>확인 항목 (마커 원문)</t>
        </is>
      </c>
      <c r="F1" s="1" t="inlineStr">
        <is>
          <t>확인해야 할 조문·출처</t>
        </is>
      </c>
      <c r="G1" s="1" t="inlineStr">
        <is>
          <t>확인 내용 (체크리스트)</t>
        </is>
      </c>
      <c r="H1" s="1" t="inlineStr">
        <is>
          <t>원고 위치</t>
        </is>
      </c>
      <c r="I1" s="1" t="inlineStr">
        <is>
          <t>상태</t>
        </is>
      </c>
      <c r="J1" s="1" t="inlineStr">
        <is>
          <t>확인 결과 기재란</t>
        </is>
      </c>
      <c r="K1" s="1" t="inlineStr">
        <is>
          <t>근거 URL·법령버전</t>
        </is>
      </c>
      <c r="L1" s="1" t="inlineStr">
        <is>
          <t>확인자</t>
        </is>
      </c>
      <c r="M1" s="1" t="inlineStr">
        <is>
          <t>확인일</t>
        </is>
      </c>
      <c r="N1" s="1" t="inlineStr">
        <is>
          <t>비고</t>
        </is>
      </c>
      <c r="O1" s="1" t="inlineStr">
        <is>
          <t>키</t>
        </is>
      </c>
      <c r="P1" s="1" t="inlineStr">
        <is>
          <t>자동판정</t>
        </is>
      </c>
    </row>
    <row r="2">
      <c r="A2" s="2" t="n">
        <v>1</v>
      </c>
      <c r="B2" s="2" t="n">
        <v>1</v>
      </c>
      <c r="C2" s="3" t="inlineStr">
        <is>
          <t>1.3 실무 절차 — 언제까지, 어디에</t>
        </is>
      </c>
      <c r="D2" s="2" t="inlineStr">
        <is>
          <t>🟡 중요</t>
        </is>
      </c>
      <c r="E2" s="3" t="inlineStr">
        <is>
          <t>[검증필요: 시행령 §78① 원문 대조]</t>
        </is>
      </c>
      <c r="F2" s="3" t="inlineStr">
        <is>
          <t>시행령 §78①</t>
        </is>
      </c>
      <c r="G2" s="3" t="inlineStr">
        <is>
          <t>법정결정기한(상속세 신고기한부터 9개월, 증여세 6개월)의 근거 시행령 §78① 원문 대조. 현재 복수 2차 출처만 일치.</t>
        </is>
      </c>
      <c r="H2" s="3" t="inlineStr">
        <is>
          <t>01_상속증여와_세금_전체그림.md L93</t>
        </is>
      </c>
      <c r="I2" s="4" t="inlineStr">
        <is>
          <t>미확인</t>
        </is>
      </c>
      <c r="J2" s="3" t="inlineStr"/>
      <c r="K2" s="3" t="inlineStr"/>
      <c r="L2" s="2" t="inlineStr"/>
      <c r="M2" s="5" t="inlineStr"/>
      <c r="N2" s="3" t="inlineStr"/>
      <c r="O2" s="6" t="inlineStr">
        <is>
          <t>1|L0093|1</t>
        </is>
      </c>
      <c r="P2" s="6" t="inlineStr">
        <is>
          <t>미확인</t>
        </is>
      </c>
    </row>
    <row r="3">
      <c r="A3" s="7" t="n">
        <v>2</v>
      </c>
      <c r="B3" s="7" t="n">
        <v>1</v>
      </c>
      <c r="C3" s="8" t="inlineStr">
        <is>
          <t>1.4 누가 이 세금을 내는가</t>
        </is>
      </c>
      <c r="D3" s="7" t="inlineStr">
        <is>
          <t>🟢 보완</t>
        </is>
      </c>
      <c r="E3" s="8" t="inlineStr">
        <is>
          <t>[검증필요 — 연도별 과세인원 절대 수치와 2021·2022년 과세 비율은 국세통계 인용 보도 경유. 국세통계포털(TASIS) 원문 대조 필요. 과세 비율 약 5.9%는 복수 출처 일치]</t>
        </is>
      </c>
      <c r="F3" s="8" t="inlineStr"/>
      <c r="G3" s="8" t="inlineStr">
        <is>
          <t>연도별 과세인원 절대 수치(2024년 피상속인 약 35만 9천 명 중 2만 1천여 명)와 2021·2022년 과세 비율이 국세통계 인용 보도 경유. 국세통계포털(TASIS) 원문 대조 필요. 과세 비율 약 5.9%는 복수 출처 일치.</t>
        </is>
      </c>
      <c r="H3" s="8" t="inlineStr">
        <is>
          <t>01_상속증여와_세금_전체그림.md L155</t>
        </is>
      </c>
      <c r="I3" s="4" t="inlineStr">
        <is>
          <t>미확인</t>
        </is>
      </c>
      <c r="J3" s="8" t="inlineStr"/>
      <c r="K3" s="8" t="inlineStr"/>
      <c r="L3" s="7" t="inlineStr"/>
      <c r="M3" s="9" t="inlineStr"/>
      <c r="N3" s="8" t="inlineStr"/>
      <c r="O3" s="10" t="inlineStr">
        <is>
          <t>1|L0155|1</t>
        </is>
      </c>
      <c r="P3" s="10" t="inlineStr">
        <is>
          <t>미확인</t>
        </is>
      </c>
    </row>
    <row r="4">
      <c r="A4" s="7" t="n">
        <v>3</v>
      </c>
      <c r="B4" s="7" t="n">
        <v>1</v>
      </c>
      <c r="C4" s="8" t="inlineStr">
        <is>
          <t>1.4 누가 이 세금을 내는가</t>
        </is>
      </c>
      <c r="D4" s="7" t="inlineStr">
        <is>
          <t>🟢 보완</t>
        </is>
      </c>
      <c r="E4" s="8" t="inlineStr">
        <is>
          <t>[검증필요 — 기초·일괄공제 금액의 최종 개정 연도]</t>
        </is>
      </c>
      <c r="F4" s="8" t="inlineStr"/>
      <c r="G4" s="8" t="inlineStr">
        <is>
          <t>"세율도 공제액도 그대로"의 근거인 기초·일괄공제 금액의 최종 개정 연도 확정.</t>
        </is>
      </c>
      <c r="H4" s="8" t="inlineStr">
        <is>
          <t>01_상속증여와_세금_전체그림.md L159</t>
        </is>
      </c>
      <c r="I4" s="4" t="inlineStr">
        <is>
          <t>미확인</t>
        </is>
      </c>
      <c r="J4" s="8" t="inlineStr"/>
      <c r="K4" s="8" t="inlineStr"/>
      <c r="L4" s="7" t="inlineStr"/>
      <c r="M4" s="9" t="inlineStr"/>
      <c r="N4" s="8" t="inlineStr"/>
      <c r="O4" s="10" t="inlineStr">
        <is>
          <t>1|L0159|1</t>
        </is>
      </c>
      <c r="P4" s="10" t="inlineStr">
        <is>
          <t>미확인</t>
        </is>
      </c>
    </row>
    <row r="5">
      <c r="A5" s="11" t="n">
        <v>4</v>
      </c>
      <c r="B5" s="11" t="n">
        <v>1</v>
      </c>
      <c r="C5" s="12" t="inlineStr">
        <is>
          <t>1.7 이 책 사용법</t>
        </is>
      </c>
      <c r="D5" s="11" t="inlineStr">
        <is>
          <t>⚪ 표기</t>
        </is>
      </c>
      <c r="E5" s="12" t="inlineStr">
        <is>
          <t>[검증필요]</t>
        </is>
      </c>
      <c r="F5" s="12" t="inlineStr"/>
      <c r="G5" s="12" t="inlineStr">
        <is>
          <t>독자 유형별 읽기 안내표의 "[검증필요] 목록을 중심에 둔다"</t>
        </is>
      </c>
      <c r="H5" s="12" t="inlineStr">
        <is>
          <t>01_상속증여와_세금_전체그림.md L219</t>
        </is>
      </c>
      <c r="I5" s="4" t="inlineStr">
        <is>
          <t>해당없음</t>
        </is>
      </c>
      <c r="J5" s="12" t="inlineStr"/>
      <c r="K5" s="12" t="inlineStr"/>
      <c r="L5" s="11" t="inlineStr"/>
      <c r="M5" s="13" t="inlineStr"/>
      <c r="N5" s="12" t="inlineStr">
        <is>
          <t>표기 설명·상호참조 — 원문 조회 대상 아님. 마커를 지우지 말 것</t>
        </is>
      </c>
      <c r="O5" s="14" t="inlineStr">
        <is>
          <t>1|L0219|1</t>
        </is>
      </c>
      <c r="P5" s="14" t="inlineStr">
        <is>
          <t>해당없음</t>
        </is>
      </c>
    </row>
    <row r="6">
      <c r="A6" s="11" t="n">
        <v>5</v>
      </c>
      <c r="B6" s="11" t="n">
        <v>1</v>
      </c>
      <c r="C6" s="12" t="inlineStr">
        <is>
          <t>1.7 이 책 사용법</t>
        </is>
      </c>
      <c r="D6" s="11" t="inlineStr">
        <is>
          <t>⚪ 표기</t>
        </is>
      </c>
      <c r="E6" s="12" t="inlineStr">
        <is>
          <t>[검증필요]</t>
        </is>
      </c>
      <c r="F6" s="12" t="inlineStr"/>
      <c r="G6" s="12" t="inlineStr">
        <is>
          <t>표기 정의: "[검증필요] = 저자가 법령 원문과의 1:1 대조를 끝내지 못한 지점"</t>
        </is>
      </c>
      <c r="H6" s="12" t="inlineStr">
        <is>
          <t>01_상속증여와_세금_전체그림.md L241</t>
        </is>
      </c>
      <c r="I6" s="4" t="inlineStr">
        <is>
          <t>해당없음</t>
        </is>
      </c>
      <c r="J6" s="12" t="inlineStr"/>
      <c r="K6" s="12" t="inlineStr"/>
      <c r="L6" s="11" t="inlineStr"/>
      <c r="M6" s="13" t="inlineStr"/>
      <c r="N6" s="12" t="inlineStr">
        <is>
          <t>표기 설명·상호참조 — 원문 조회 대상 아님. 마커를 지우지 말 것</t>
        </is>
      </c>
      <c r="O6" s="14" t="inlineStr">
        <is>
          <t>1|L0241|1</t>
        </is>
      </c>
      <c r="P6" s="14" t="inlineStr">
        <is>
          <t>해당없음</t>
        </is>
      </c>
    </row>
    <row r="7">
      <c r="A7" s="11" t="n">
        <v>6</v>
      </c>
      <c r="B7" s="11" t="n">
        <v>1</v>
      </c>
      <c r="C7" s="12" t="inlineStr">
        <is>
          <t>1.7 이 책 사용법</t>
        </is>
      </c>
      <c r="D7" s="11" t="inlineStr">
        <is>
          <t>⚪ 표기</t>
        </is>
      </c>
      <c r="E7" s="12" t="inlineStr">
        <is>
          <t>[검증필요]</t>
        </is>
      </c>
      <c r="F7" s="12" t="inlineStr"/>
      <c r="G7" s="12" t="inlineStr">
        <is>
          <t>면책 박스의 "금액 기준과 [검증필요] 표기 항목은 인용 전 현행본 대조가 필요하다"</t>
        </is>
      </c>
      <c r="H7" s="12" t="inlineStr">
        <is>
          <t>01_상속증여와_세금_전체그림.md L244</t>
        </is>
      </c>
      <c r="I7" s="4" t="inlineStr">
        <is>
          <t>해당없음</t>
        </is>
      </c>
      <c r="J7" s="12" t="inlineStr"/>
      <c r="K7" s="12" t="inlineStr"/>
      <c r="L7" s="11" t="inlineStr"/>
      <c r="M7" s="13" t="inlineStr"/>
      <c r="N7" s="12" t="inlineStr">
        <is>
          <t>표기 설명·상호참조 — 원문 조회 대상 아님. 마커를 지우지 말 것</t>
        </is>
      </c>
      <c r="O7" s="14" t="inlineStr">
        <is>
          <t>1|L0244|1</t>
        </is>
      </c>
      <c r="P7" s="14" t="inlineStr">
        <is>
          <t>해당없음</t>
        </is>
      </c>
    </row>
    <row r="8">
      <c r="A8" s="11" t="n">
        <v>7</v>
      </c>
      <c r="B8" s="11" t="n">
        <v>1</v>
      </c>
      <c r="C8" s="12" t="inlineStr">
        <is>
          <t>1.9 핵심 체크리스트</t>
        </is>
      </c>
      <c r="D8" s="11" t="inlineStr">
        <is>
          <t>⚪ 표기</t>
        </is>
      </c>
      <c r="E8" s="12" t="inlineStr">
        <is>
          <t>[검증필요]</t>
        </is>
      </c>
      <c r="F8" s="12" t="inlineStr"/>
      <c r="G8" s="12" t="inlineStr">
        <is>
          <t>"이 책의 표기와 면책의 의미를 확인했는가?"</t>
        </is>
      </c>
      <c r="H8" s="12" t="inlineStr">
        <is>
          <t>01_상속증여와_세금_전체그림.md L273</t>
        </is>
      </c>
      <c r="I8" s="4" t="inlineStr">
        <is>
          <t>해당없음</t>
        </is>
      </c>
      <c r="J8" s="12" t="inlineStr"/>
      <c r="K8" s="12" t="inlineStr"/>
      <c r="L8" s="11" t="inlineStr"/>
      <c r="M8" s="13" t="inlineStr"/>
      <c r="N8" s="12" t="inlineStr">
        <is>
          <t>표기 설명·상호참조 — 원문 조회 대상 아님. 마커를 지우지 말 것</t>
        </is>
      </c>
      <c r="O8" s="14" t="inlineStr">
        <is>
          <t>1|L0273|1</t>
        </is>
      </c>
      <c r="P8" s="14" t="inlineStr">
        <is>
          <t>해당없음</t>
        </is>
      </c>
    </row>
    <row r="9">
      <c r="A9" s="7" t="n">
        <v>8</v>
      </c>
      <c r="B9" s="7" t="n">
        <v>2</v>
      </c>
      <c r="C9" s="8" t="inlineStr">
        <is>
          <t>2.1 국세청 해석은 법이 아니다</t>
        </is>
      </c>
      <c r="D9" s="7" t="inlineStr">
        <is>
          <t>🟢 보완</t>
        </is>
      </c>
      <c r="E9" s="8" t="inlineStr">
        <is>
          <t>[검증필요 — 인용한 예규 2건(사전-2023-법규재산-0247, 사전-2025-법규재산-0190)은 2차 출처 경유이며 국세법령정보시스템 원문 대조 미실시]</t>
        </is>
      </c>
      <c r="F9" s="8" t="inlineStr">
        <is>
          <t>사전-2023-법규재산-0247 · 사전-2025-법규재산-0190</t>
        </is>
      </c>
      <c r="G9" s="8" t="inlineStr">
        <is>
          <t>인용 예규 2건(사전-2023-법규재산-0247, 사전-2025-법규재산-0190)이 2차 출처 경유. 국세법령정보시스템 원문 대조 미실시. ※ 10장 L249와 동일 예규 — 함께 처리.</t>
        </is>
      </c>
      <c r="H9" s="8" t="inlineStr">
        <is>
          <t>02_상증세법의_구조와_법령체계.md L50</t>
        </is>
      </c>
      <c r="I9" s="4" t="inlineStr">
        <is>
          <t>미확인</t>
        </is>
      </c>
      <c r="J9" s="8" t="inlineStr"/>
      <c r="K9" s="8" t="inlineStr"/>
      <c r="L9" s="7" t="inlineStr"/>
      <c r="M9" s="9" t="inlineStr"/>
      <c r="N9" s="8" t="inlineStr">
        <is>
          <t>※ 10장 L249와 동일 예규 — 함께 처리</t>
        </is>
      </c>
      <c r="O9" s="10" t="inlineStr">
        <is>
          <t>2|L0050|1</t>
        </is>
      </c>
      <c r="P9" s="10" t="inlineStr">
        <is>
          <t>미확인</t>
        </is>
      </c>
    </row>
    <row r="10">
      <c r="A10" s="2" t="n">
        <v>9</v>
      </c>
      <c r="B10" s="2" t="n">
        <v>2</v>
      </c>
      <c r="C10" s="3" t="inlineStr">
        <is>
          <t>2.2 조문 지도</t>
        </is>
      </c>
      <c r="D10" s="2" t="inlineStr">
        <is>
          <t>🟡 중요</t>
        </is>
      </c>
      <c r="E10" s="3" t="inlineStr">
        <is>
          <t>[검증필요: 제6장 제목·범위 원문]</t>
        </is>
      </c>
      <c r="F10" s="3" t="inlineStr">
        <is>
          <t>§76</t>
        </is>
      </c>
      <c r="G10" s="3" t="inlineStr">
        <is>
          <t>상증세법 제6장의 제목·범위 원문 확인(현재 "보칙 §76~ 결정·경정·사후관리"로 표기).</t>
        </is>
      </c>
      <c r="H10" s="3" t="inlineStr">
        <is>
          <t>02_상증세법의_구조와_법령체계.md L61</t>
        </is>
      </c>
      <c r="I10" s="4" t="inlineStr">
        <is>
          <t>미확인</t>
        </is>
      </c>
      <c r="J10" s="3" t="inlineStr"/>
      <c r="K10" s="3" t="inlineStr"/>
      <c r="L10" s="2" t="inlineStr"/>
      <c r="M10" s="5" t="inlineStr"/>
      <c r="N10" s="3" t="inlineStr"/>
      <c r="O10" s="6" t="inlineStr">
        <is>
          <t>2|L0061|1</t>
        </is>
      </c>
      <c r="P10" s="6" t="inlineStr">
        <is>
          <t>미확인</t>
        </is>
      </c>
    </row>
    <row r="11">
      <c r="A11" s="11" t="n">
        <v>10</v>
      </c>
      <c r="B11" s="11" t="n">
        <v>2</v>
      </c>
      <c r="C11" s="12" t="inlineStr">
        <is>
          <t>2.3 조문 확인법</t>
        </is>
      </c>
      <c r="D11" s="11" t="inlineStr">
        <is>
          <t>⚪ 표기</t>
        </is>
      </c>
      <c r="E11" s="12" t="inlineStr">
        <is>
          <t>[검증필요]</t>
        </is>
      </c>
      <c r="F11" s="12" t="inlineStr"/>
      <c r="G11" s="12" t="inlineStr">
        <is>
          <t>"각 장 끝 [검증필요] 항목과 부록의 체크리스트"</t>
        </is>
      </c>
      <c r="H11" s="12" t="inlineStr">
        <is>
          <t>02_상증세법의_구조와_법령체계.md L118</t>
        </is>
      </c>
      <c r="I11" s="4" t="inlineStr">
        <is>
          <t>해당없음</t>
        </is>
      </c>
      <c r="J11" s="12" t="inlineStr"/>
      <c r="K11" s="12" t="inlineStr"/>
      <c r="L11" s="11" t="inlineStr"/>
      <c r="M11" s="13" t="inlineStr"/>
      <c r="N11" s="12" t="inlineStr">
        <is>
          <t>표기 설명·상호참조 — 원문 조회 대상 아님. 마커를 지우지 말 것</t>
        </is>
      </c>
      <c r="O11" s="14" t="inlineStr">
        <is>
          <t>2|L0118|1</t>
        </is>
      </c>
      <c r="P11" s="14" t="inlineStr">
        <is>
          <t>해당없음</t>
        </is>
      </c>
    </row>
    <row r="12">
      <c r="A12" s="7" t="n">
        <v>11</v>
      </c>
      <c r="B12" s="7" t="n">
        <v>2</v>
      </c>
      <c r="C12" s="8" t="inlineStr">
        <is>
          <t>2.3 조문을 직접 확인하는 법</t>
        </is>
      </c>
      <c r="D12" s="7" t="inlineStr">
        <is>
          <t>🟢 보완</t>
        </is>
      </c>
      <c r="E12" s="8" t="inlineStr">
        <is>
          <t>[검증필요 — 오픈API 이용 신청 절차와 요청 파라미터(인증용 ID 등)의 현행 사양은 이용 시점에 재확인 필요]</t>
        </is>
      </c>
      <c r="F12" s="8" t="inlineStr"/>
      <c r="G12" s="8" t="inlineStr">
        <is>
          <t>law.go.kr 오픈API 이용 신청 절차와 요청 파라미터(인증용 ID 등)의 현행 사양은 이용 시점 재확인. ※ 부록 J L407과 동일 건.</t>
        </is>
      </c>
      <c r="H12" s="8" t="inlineStr">
        <is>
          <t>02_상증세법의_구조와_법령체계.md L138</t>
        </is>
      </c>
      <c r="I12" s="4" t="inlineStr">
        <is>
          <t>미확인</t>
        </is>
      </c>
      <c r="J12" s="8" t="inlineStr"/>
      <c r="K12" s="8" t="inlineStr"/>
      <c r="L12" s="7" t="inlineStr"/>
      <c r="M12" s="9" t="inlineStr"/>
      <c r="N12" s="8" t="inlineStr">
        <is>
          <t>※ 부록 J L407과 동일 건</t>
        </is>
      </c>
      <c r="O12" s="10" t="inlineStr">
        <is>
          <t>2|L0138|1</t>
        </is>
      </c>
      <c r="P12" s="10" t="inlineStr">
        <is>
          <t>미확인</t>
        </is>
      </c>
    </row>
    <row r="13">
      <c r="A13" s="2" t="n">
        <v>12</v>
      </c>
      <c r="B13" s="2" t="n">
        <v>3</v>
      </c>
      <c r="C13" s="3" t="inlineStr">
        <is>
          <t>3.1 세법이 민법 위에 서 있다</t>
        </is>
      </c>
      <c r="D13" s="2" t="inlineStr">
        <is>
          <t>🟡 중요</t>
        </is>
      </c>
      <c r="E13" s="3" t="inlineStr">
        <is>
          <t>[검증필요 — 특별수익·기여분의 근거 조문·산정 방식]</t>
        </is>
      </c>
      <c r="F13" s="3" t="inlineStr">
        <is>
          <t>민법 §1008 · §1008의2</t>
        </is>
      </c>
      <c r="G13" s="3" t="inlineStr">
        <is>
          <t>특별수익·기여분의 근거 조문(민법 §1008·§1008의2 추정)과 산정 방식. ※ L193과 동일 쟁점 — 묶어서 처리.</t>
        </is>
      </c>
      <c r="H13" s="3" t="inlineStr">
        <is>
          <t>03_상속의_민법_기초.md L46</t>
        </is>
      </c>
      <c r="I13" s="4" t="inlineStr">
        <is>
          <t>미확인</t>
        </is>
      </c>
      <c r="J13" s="3" t="inlineStr"/>
      <c r="K13" s="3" t="inlineStr"/>
      <c r="L13" s="2" t="inlineStr"/>
      <c r="M13" s="5" t="inlineStr"/>
      <c r="N13" s="3" t="inlineStr">
        <is>
          <t>※ L193과 동일 쟁점 — 묶어서 처리</t>
        </is>
      </c>
      <c r="O13" s="6" t="inlineStr">
        <is>
          <t>3|L0046|1</t>
        </is>
      </c>
      <c r="P13" s="6" t="inlineStr">
        <is>
          <t>미확인</t>
        </is>
      </c>
    </row>
    <row r="14">
      <c r="A14" s="2" t="n">
        <v>13</v>
      </c>
      <c r="B14" s="2" t="n">
        <v>3</v>
      </c>
      <c r="C14" s="3" t="inlineStr">
        <is>
          <t>3.2 3개월의 갈림길 (§1019)</t>
        </is>
      </c>
      <c r="D14" s="2" t="inlineStr">
        <is>
          <t>🟡 중요</t>
        </is>
      </c>
      <c r="E14" s="3" t="inlineStr">
        <is>
          <t>[검증필요 — 숙려기간 연장 청구의 근거 조문·요건]</t>
        </is>
      </c>
      <c r="F14" s="3" t="inlineStr"/>
      <c r="G14" s="3" t="inlineStr">
        <is>
          <t>숙려기간 연장 청구의 근거 조문·요건(가정법원 청구).</t>
        </is>
      </c>
      <c r="H14" s="3" t="inlineStr">
        <is>
          <t>03_상속의_민법_기초.md L60</t>
        </is>
      </c>
      <c r="I14" s="4" t="inlineStr">
        <is>
          <t>미확인</t>
        </is>
      </c>
      <c r="J14" s="3" t="inlineStr"/>
      <c r="K14" s="3" t="inlineStr"/>
      <c r="L14" s="2" t="inlineStr"/>
      <c r="M14" s="5" t="inlineStr"/>
      <c r="N14" s="3" t="inlineStr"/>
      <c r="O14" s="6" t="inlineStr">
        <is>
          <t>3|L0060|1</t>
        </is>
      </c>
      <c r="P14" s="6" t="inlineStr">
        <is>
          <t>미확인</t>
        </is>
      </c>
    </row>
    <row r="15">
      <c r="A15" s="15" t="n">
        <v>14</v>
      </c>
      <c r="B15" s="15" t="n">
        <v>3</v>
      </c>
      <c r="C15" s="16" t="inlineStr">
        <is>
          <t>3.3 격변기의 유류분</t>
        </is>
      </c>
      <c r="D15" s="15" t="inlineStr">
        <is>
          <t>🔴 최우선</t>
        </is>
      </c>
      <c r="E15" s="16" t="inlineStr">
        <is>
          <t>[검증필요 — 산입 증여의 범위·기간 요건, 반환 순서의 근거 조문, 유류분 반환청구권의 행사 기간]</t>
        </is>
      </c>
      <c r="F15" s="16" t="inlineStr"/>
      <c r="G15" s="16" t="inlineStr">
        <is>
          <t>① 산입 증여의 범위·기간 요건(상속인 vs 제3자 구분) ② 반환 순서의 근거 조문(유증 우선 여부) ③ 유류분 반환청구권의 행사 기간. 세 가지 모두 유류분 계산 결과를 바꾸는 수치·순서다.</t>
        </is>
      </c>
      <c r="H15" s="16" t="inlineStr">
        <is>
          <t>03_상속의_민법_기초.md L91</t>
        </is>
      </c>
      <c r="I15" s="4" t="inlineStr">
        <is>
          <t>미확인</t>
        </is>
      </c>
      <c r="J15" s="16" t="inlineStr"/>
      <c r="K15" s="16" t="inlineStr"/>
      <c r="L15" s="15" t="inlineStr"/>
      <c r="M15" s="17" t="inlineStr"/>
      <c r="N15" s="16" t="inlineStr"/>
      <c r="O15" s="18" t="inlineStr">
        <is>
          <t>3|L0091|1</t>
        </is>
      </c>
      <c r="P15" s="18" t="inlineStr">
        <is>
          <t>미확인</t>
        </is>
      </c>
    </row>
    <row r="16">
      <c r="A16" s="2" t="n">
        <v>15</v>
      </c>
      <c r="B16" s="2" t="n">
        <v>3</v>
      </c>
      <c r="C16" s="3" t="inlineStr">
        <is>
          <t>3.3 격변기의 유류분</t>
        </is>
      </c>
      <c r="D16" s="2" t="inlineStr">
        <is>
          <t>🟡 중요</t>
        </is>
      </c>
      <c r="E16" s="3" t="inlineStr">
        <is>
          <t>[검증필요: 법률번호·조문 원문 대조]</t>
        </is>
      </c>
      <c r="F16" s="3" t="inlineStr"/>
      <c r="G16" s="3" t="inlineStr">
        <is>
          <t>2026.2. 민법 개정의 법률번호·조문 원문 대조. 현재 근거가 "복수 로펌 출처"뿐. 골자 3가지(유류분 상실 사유 신설 / 기여 대가 증여의 산정 제외 / 가액 반환 원칙화)를 조문으로 확인.</t>
        </is>
      </c>
      <c r="H16" s="3" t="inlineStr">
        <is>
          <t>03_상속의_민법_기초.md L97</t>
        </is>
      </c>
      <c r="I16" s="4" t="inlineStr">
        <is>
          <t>미확인</t>
        </is>
      </c>
      <c r="J16" s="3" t="inlineStr"/>
      <c r="K16" s="3" t="inlineStr"/>
      <c r="L16" s="2" t="inlineStr"/>
      <c r="M16" s="5" t="inlineStr"/>
      <c r="N16" s="3" t="inlineStr"/>
      <c r="O16" s="6" t="inlineStr">
        <is>
          <t>3|L0097|1</t>
        </is>
      </c>
      <c r="P16" s="6" t="inlineStr">
        <is>
          <t>미확인</t>
        </is>
      </c>
    </row>
    <row r="17">
      <c r="A17" s="2" t="n">
        <v>16</v>
      </c>
      <c r="B17" s="2" t="n">
        <v>3</v>
      </c>
      <c r="C17" s="3" t="inlineStr">
        <is>
          <t>3.3 상속권 상실 제도 (민법 §1004의2)</t>
        </is>
      </c>
      <c r="D17" s="2" t="inlineStr">
        <is>
          <t>🟡 중요</t>
        </is>
      </c>
      <c r="E17" s="3" t="inlineStr">
        <is>
          <t>[검증필요: 상실자의 자녀 대습상속 처리 — 2026.2. 개정과 연동]</t>
        </is>
      </c>
      <c r="F17" s="3" t="inlineStr"/>
      <c r="G17" s="3" t="inlineStr">
        <is>
          <t>상실자의 자녀에 대한 대습상속 처리 — 2026.2. 개정과 연동해 확인.</t>
        </is>
      </c>
      <c r="H17" s="3" t="inlineStr">
        <is>
          <t>03_상속의_민법_기초.md L99</t>
        </is>
      </c>
      <c r="I17" s="4" t="inlineStr">
        <is>
          <t>미확인</t>
        </is>
      </c>
      <c r="J17" s="3" t="inlineStr"/>
      <c r="K17" s="3" t="inlineStr"/>
      <c r="L17" s="2" t="inlineStr"/>
      <c r="M17" s="5" t="inlineStr"/>
      <c r="N17" s="3" t="inlineStr"/>
      <c r="O17" s="6" t="inlineStr">
        <is>
          <t>3|L0099|1</t>
        </is>
      </c>
      <c r="P17" s="6" t="inlineStr">
        <is>
          <t>미확인</t>
        </is>
      </c>
    </row>
    <row r="18">
      <c r="A18" s="7" t="n">
        <v>17</v>
      </c>
      <c r="B18" s="7" t="n">
        <v>3</v>
      </c>
      <c r="C18" s="8" t="inlineStr">
        <is>
          <t>3.4 상속재산 분할</t>
        </is>
      </c>
      <c r="D18" s="7" t="inlineStr">
        <is>
          <t>🟢 보완</t>
        </is>
      </c>
      <c r="E18" s="8" t="inlineStr">
        <is>
          <t>[검증필요 — 특별대리인 선임의 근거 조문·절차]</t>
        </is>
      </c>
      <c r="F18" s="8" t="inlineStr"/>
      <c r="G18" s="8" t="inlineStr">
        <is>
          <t>특별대리인 선임의 근거 조문·절차(미성년 상속인과 친권자의 이해상반).</t>
        </is>
      </c>
      <c r="H18" s="8" t="inlineStr">
        <is>
          <t>03_상속의_민법_기초.md L113</t>
        </is>
      </c>
      <c r="I18" s="4" t="inlineStr">
        <is>
          <t>미확인</t>
        </is>
      </c>
      <c r="J18" s="8" t="inlineStr"/>
      <c r="K18" s="8" t="inlineStr"/>
      <c r="L18" s="7" t="inlineStr"/>
      <c r="M18" s="9" t="inlineStr"/>
      <c r="N18" s="8" t="inlineStr"/>
      <c r="O18" s="10" t="inlineStr">
        <is>
          <t>3|L0113|1</t>
        </is>
      </c>
      <c r="P18" s="10" t="inlineStr">
        <is>
          <t>미확인</t>
        </is>
      </c>
    </row>
    <row r="19">
      <c r="A19" s="2" t="n">
        <v>18</v>
      </c>
      <c r="B19" s="2" t="n">
        <v>3</v>
      </c>
      <c r="C19" s="3" t="inlineStr">
        <is>
          <t>3.4 상속재산 분할</t>
        </is>
      </c>
      <c r="D19" s="2" t="inlineStr">
        <is>
          <t>🟡 중요</t>
        </is>
      </c>
      <c r="E19" s="3" t="inlineStr">
        <is>
          <t>[검증필요 — 신고기한 내 재분할의 증여 제외 요건·근거 조문]</t>
        </is>
      </c>
      <c r="F19" s="3" t="inlineStr"/>
      <c r="G19" s="3" t="inlineStr">
        <is>
          <t>신고기한 내 재분할의 증여 제외 요건·근거 조문. 실무 조언의 근거가 되는 핵심 조문이므로 우선 확인.</t>
        </is>
      </c>
      <c r="H19" s="3" t="inlineStr">
        <is>
          <t>03_상속의_민법_기초.md L119</t>
        </is>
      </c>
      <c r="I19" s="4" t="inlineStr">
        <is>
          <t>미확인</t>
        </is>
      </c>
      <c r="J19" s="3" t="inlineStr"/>
      <c r="K19" s="3" t="inlineStr"/>
      <c r="L19" s="2" t="inlineStr"/>
      <c r="M19" s="5" t="inlineStr"/>
      <c r="N19" s="3" t="inlineStr"/>
      <c r="O19" s="6" t="inlineStr">
        <is>
          <t>3|L0119|1</t>
        </is>
      </c>
      <c r="P19" s="6" t="inlineStr">
        <is>
          <t>미확인</t>
        </is>
      </c>
    </row>
    <row r="20">
      <c r="A20" s="11" t="n">
        <v>19</v>
      </c>
      <c r="B20" s="11" t="n">
        <v>3</v>
      </c>
      <c r="C20" s="12" t="inlineStr">
        <is>
          <t>사례 3-3</t>
        </is>
      </c>
      <c r="D20" s="11" t="inlineStr">
        <is>
          <t>⚪ 표기</t>
        </is>
      </c>
      <c r="E20" s="12" t="inlineStr">
        <is>
          <t>[검증필요]</t>
        </is>
      </c>
      <c r="F20" s="12" t="inlineStr"/>
      <c r="G20" s="12" t="inlineStr">
        <is>
          <t>사례 주석의 상호참조("산입 증여의 범위는 [검증필요] 항목입니다") → 실체는 3장 L91</t>
        </is>
      </c>
      <c r="H20" s="12" t="inlineStr">
        <is>
          <t>03_상속의_민법_기초.md L154</t>
        </is>
      </c>
      <c r="I20" s="4" t="inlineStr">
        <is>
          <t>해당없음</t>
        </is>
      </c>
      <c r="J20" s="12" t="inlineStr"/>
      <c r="K20" s="12" t="inlineStr"/>
      <c r="L20" s="11" t="inlineStr"/>
      <c r="M20" s="13" t="inlineStr"/>
      <c r="N20" s="12" t="inlineStr">
        <is>
          <t>표기 설명·상호참조 — 원문 조회 대상 아님. 마커를 지우지 말 것</t>
        </is>
      </c>
      <c r="O20" s="14" t="inlineStr">
        <is>
          <t>3|L0154|1</t>
        </is>
      </c>
      <c r="P20" s="14" t="inlineStr">
        <is>
          <t>해당없음</t>
        </is>
      </c>
    </row>
    <row r="21">
      <c r="A21" s="7" t="n">
        <v>20</v>
      </c>
      <c r="B21" s="7" t="n">
        <v>3</v>
      </c>
      <c r="C21" s="8" t="inlineStr">
        <is>
          <t>3.6 자주 묻는 질문</t>
        </is>
      </c>
      <c r="D21" s="7" t="inlineStr">
        <is>
          <t>🟢 보완</t>
        </is>
      </c>
      <c r="E21" s="8" t="inlineStr">
        <is>
          <t>[검증필요 — 사실혼 배우자의 재산분할청구·이혼 소송 중 사망의 처리]</t>
        </is>
      </c>
      <c r="F21" s="8" t="inlineStr"/>
      <c r="G21" s="8" t="inlineStr">
        <is>
          <t>사실혼 배우자의 재산분할청구권 / 이혼 소송 중 사망의 처리.</t>
        </is>
      </c>
      <c r="H21" s="8" t="inlineStr">
        <is>
          <t>03_상속의_민법_기초.md L187</t>
        </is>
      </c>
      <c r="I21" s="4" t="inlineStr">
        <is>
          <t>미확인</t>
        </is>
      </c>
      <c r="J21" s="8" t="inlineStr"/>
      <c r="K21" s="8" t="inlineStr"/>
      <c r="L21" s="7" t="inlineStr"/>
      <c r="M21" s="9" t="inlineStr"/>
      <c r="N21" s="8" t="inlineStr"/>
      <c r="O21" s="10" t="inlineStr">
        <is>
          <t>3|L0187|1</t>
        </is>
      </c>
      <c r="P21" s="10" t="inlineStr">
        <is>
          <t>미확인</t>
        </is>
      </c>
    </row>
    <row r="22">
      <c r="A22" s="2" t="n">
        <v>21</v>
      </c>
      <c r="B22" s="2" t="n">
        <v>3</v>
      </c>
      <c r="C22" s="3" t="inlineStr">
        <is>
          <t>3.6 자주 묻는 질문</t>
        </is>
      </c>
      <c r="D22" s="2" t="inlineStr">
        <is>
          <t>🟡 중요</t>
        </is>
      </c>
      <c r="E22" s="3" t="inlineStr">
        <is>
          <t>[검증필요 — 태아의 상속능력 근거 조문·출생 전 분할의 효력]</t>
        </is>
      </c>
      <c r="F22" s="3" t="inlineStr">
        <is>
          <t>민법 §1000③</t>
        </is>
      </c>
      <c r="G22" s="3" t="inlineStr">
        <is>
          <t>태아의 상속능력 근거 조문(민법 §1000③ 추정)과 출생 전 분할의 효력.</t>
        </is>
      </c>
      <c r="H22" s="3" t="inlineStr">
        <is>
          <t>03_상속의_민법_기초.md L190</t>
        </is>
      </c>
      <c r="I22" s="4" t="inlineStr">
        <is>
          <t>미확인</t>
        </is>
      </c>
      <c r="J22" s="3" t="inlineStr"/>
      <c r="K22" s="3" t="inlineStr"/>
      <c r="L22" s="2" t="inlineStr"/>
      <c r="M22" s="5" t="inlineStr"/>
      <c r="N22" s="3" t="inlineStr"/>
      <c r="O22" s="6" t="inlineStr">
        <is>
          <t>3|L0190|1</t>
        </is>
      </c>
      <c r="P22" s="6" t="inlineStr">
        <is>
          <t>미확인</t>
        </is>
      </c>
    </row>
    <row r="23">
      <c r="A23" s="2" t="n">
        <v>22</v>
      </c>
      <c r="B23" s="2" t="n">
        <v>3</v>
      </c>
      <c r="C23" s="3" t="inlineStr">
        <is>
          <t>3.6 자주 묻는 질문</t>
        </is>
      </c>
      <c r="D23" s="2" t="inlineStr">
        <is>
          <t>🟡 중요</t>
        </is>
      </c>
      <c r="E23" s="3" t="inlineStr">
        <is>
          <t>[검증필요 — 기여분의 근거 조문·산정 방식]</t>
        </is>
      </c>
      <c r="F23" s="3" t="inlineStr"/>
      <c r="G23" s="3" t="inlineStr">
        <is>
          <t>기여분의 근거 조문·산정 방식. ※ L46과 동일 쟁점.</t>
        </is>
      </c>
      <c r="H23" s="3" t="inlineStr">
        <is>
          <t>03_상속의_민법_기초.md L193</t>
        </is>
      </c>
      <c r="I23" s="4" t="inlineStr">
        <is>
          <t>미확인</t>
        </is>
      </c>
      <c r="J23" s="3" t="inlineStr"/>
      <c r="K23" s="3" t="inlineStr"/>
      <c r="L23" s="2" t="inlineStr"/>
      <c r="M23" s="5" t="inlineStr"/>
      <c r="N23" s="3" t="inlineStr">
        <is>
          <t>※ L46과 동일 쟁점</t>
        </is>
      </c>
      <c r="O23" s="6" t="inlineStr">
        <is>
          <t>3|L0193|1</t>
        </is>
      </c>
      <c r="P23" s="6" t="inlineStr">
        <is>
          <t>미확인</t>
        </is>
      </c>
    </row>
    <row r="24">
      <c r="A24" s="2" t="n">
        <v>23</v>
      </c>
      <c r="B24" s="2" t="n">
        <v>4</v>
      </c>
      <c r="C24" s="3" t="inlineStr">
        <is>
          <t>4.2 납세의무자 (법 §3의2)</t>
        </is>
      </c>
      <c r="D24" s="2" t="inlineStr">
        <is>
          <t>🟡 중요</t>
        </is>
      </c>
      <c r="E24" s="3" t="inlineStr">
        <is>
          <t>[검증필요 — 제3조의2제2항 개정 전후 문언 대비, "지분상당액" 산정의 시행령 산식, 개정 법률 호수·공포일. law.go.kr 현행본 및 부칙 원문 1:1 대조 필요]</t>
        </is>
      </c>
      <c r="F24" s="3" t="inlineStr">
        <is>
          <t>§3의2</t>
        </is>
      </c>
      <c r="G24" s="3" t="inlineStr">
        <is>
          <t>§3의2제2항 개정 전후 문언 대비, 개정 법률 호수·공포일. law.go.kr 현행본 및 부칙 원문 1:1 대조. (2026.1.1. 시행, 시행 이후 상속개시분 적용)</t>
        </is>
      </c>
      <c r="H24" s="3" t="inlineStr">
        <is>
          <t>04_과세대상과_납세의무자.md L59</t>
        </is>
      </c>
      <c r="I24" s="4" t="inlineStr">
        <is>
          <t>미확인</t>
        </is>
      </c>
      <c r="J24" s="3" t="inlineStr"/>
      <c r="K24" s="3" t="inlineStr"/>
      <c r="L24" s="2" t="inlineStr"/>
      <c r="M24" s="5" t="inlineStr"/>
      <c r="N24" s="3" t="inlineStr"/>
      <c r="O24" s="6" t="inlineStr">
        <is>
          <t>4|L0059|1</t>
        </is>
      </c>
      <c r="P24" s="6" t="inlineStr">
        <is>
          <t>미확인</t>
        </is>
      </c>
    </row>
    <row r="25">
      <c r="A25" s="2" t="n">
        <v>24</v>
      </c>
      <c r="B25" s="2" t="n">
        <v>4</v>
      </c>
      <c r="C25" s="3" t="inlineStr">
        <is>
          <t>4.2 납세의무자</t>
        </is>
      </c>
      <c r="D25" s="2" t="inlineStr">
        <is>
          <t>🟡 중요</t>
        </is>
      </c>
      <c r="E25" s="3" t="inlineStr">
        <is>
          <t>[검증필요 — "받았거나 받을 재산"의 시행령상 정의 조문번호와 문언]</t>
        </is>
      </c>
      <c r="F25" s="3" t="inlineStr"/>
      <c r="G25" s="3" t="inlineStr">
        <is>
          <t>연대납부 한도의 "받았거나 받을 재산"의 시행령상 정의 조문번호와 문언.</t>
        </is>
      </c>
      <c r="H25" s="3" t="inlineStr">
        <is>
          <t>04_과세대상과_납세의무자.md L71</t>
        </is>
      </c>
      <c r="I25" s="4" t="inlineStr">
        <is>
          <t>미확인</t>
        </is>
      </c>
      <c r="J25" s="3" t="inlineStr"/>
      <c r="K25" s="3" t="inlineStr"/>
      <c r="L25" s="2" t="inlineStr"/>
      <c r="M25" s="5" t="inlineStr"/>
      <c r="N25" s="3" t="inlineStr"/>
      <c r="O25" s="6" t="inlineStr">
        <is>
          <t>4|L0071|1</t>
        </is>
      </c>
      <c r="P25" s="6" t="inlineStr">
        <is>
          <t>미확인</t>
        </is>
      </c>
    </row>
    <row r="26">
      <c r="A26" s="2" t="n">
        <v>25</v>
      </c>
      <c r="B26" s="2" t="n">
        <v>4</v>
      </c>
      <c r="C26" s="3" t="inlineStr">
        <is>
          <t>4.3 성립과 확정</t>
        </is>
      </c>
      <c r="D26" s="2" t="inlineStr">
        <is>
          <t>🟡 중요</t>
        </is>
      </c>
      <c r="E26" s="3" t="inlineStr">
        <is>
          <t>[검증필요 — 납세의무 성립시기를 정한 국세기본법 조문번호·항호]</t>
        </is>
      </c>
      <c r="F26" s="3" t="inlineStr">
        <is>
          <t>국기법 §21</t>
        </is>
      </c>
      <c r="G26" s="3" t="inlineStr">
        <is>
          <t>납세의무 성립시기를 정한 국세기본법 조문번호·항호(국기법 §21 추정).</t>
        </is>
      </c>
      <c r="H26" s="3" t="inlineStr">
        <is>
          <t>04_과세대상과_납세의무자.md L79</t>
        </is>
      </c>
      <c r="I26" s="4" t="inlineStr">
        <is>
          <t>미확인</t>
        </is>
      </c>
      <c r="J26" s="3" t="inlineStr"/>
      <c r="K26" s="3" t="inlineStr"/>
      <c r="L26" s="2" t="inlineStr"/>
      <c r="M26" s="5" t="inlineStr"/>
      <c r="N26" s="3" t="inlineStr"/>
      <c r="O26" s="6" t="inlineStr">
        <is>
          <t>4|L0079|1</t>
        </is>
      </c>
      <c r="P26" s="6" t="inlineStr">
        <is>
          <t>미확인</t>
        </is>
      </c>
    </row>
    <row r="27">
      <c r="A27" s="15" t="n">
        <v>26</v>
      </c>
      <c r="B27" s="15" t="n">
        <v>4</v>
      </c>
      <c r="C27" s="16" t="inlineStr">
        <is>
          <t>4.3 거주자 판정</t>
        </is>
      </c>
      <c r="D27" s="15" t="inlineStr">
        <is>
          <t>🔴 최우선</t>
        </is>
      </c>
      <c r="E27" s="16" t="inlineStr">
        <is>
          <t>[검증필요: 원문 확인 전 확정 서술 금지]</t>
        </is>
      </c>
      <c r="F27" s="16" t="inlineStr"/>
      <c r="G27" s="16" t="inlineStr">
        <is>
          <t>2026년 귀속부터의 소득세법령 거주자 판정 개정("두 과세기간에 걸쳐 계속 183일 체류")이 상증세법 준용에 영향을 주는지. 원고에 "원문 확인 전 확정 서술 금지"로 명시됨 — 거주자 판정은 과세 범위 전체를 가르므로 최우선. ※ 13장 L50과 연동.</t>
        </is>
      </c>
      <c r="H27" s="16" t="inlineStr">
        <is>
          <t>04_과세대상과_납세의무자.md L98</t>
        </is>
      </c>
      <c r="I27" s="4" t="inlineStr">
        <is>
          <t>미확인</t>
        </is>
      </c>
      <c r="J27" s="16" t="inlineStr"/>
      <c r="K27" s="16" t="inlineStr"/>
      <c r="L27" s="15" t="inlineStr"/>
      <c r="M27" s="17" t="inlineStr"/>
      <c r="N27" s="16" t="inlineStr">
        <is>
          <t>※ 13장 L50과 연동</t>
        </is>
      </c>
      <c r="O27" s="18" t="inlineStr">
        <is>
          <t>4|L0098|1</t>
        </is>
      </c>
      <c r="P27" s="18" t="inlineStr">
        <is>
          <t>미확인</t>
        </is>
      </c>
    </row>
    <row r="28">
      <c r="A28" s="2" t="n">
        <v>27</v>
      </c>
      <c r="B28" s="2" t="n">
        <v>4</v>
      </c>
      <c r="C28" s="3" t="inlineStr">
        <is>
          <t>4.5 자주 묻는 질문</t>
        </is>
      </c>
      <c r="D28" s="2" t="inlineStr">
        <is>
          <t>🟡 중요</t>
        </is>
      </c>
      <c r="E28" s="3" t="inlineStr">
        <is>
          <t>[검증필요 — 상증세법상 실종선고 시 상속개시일 규정의 조문번호·문언, 민법상 사망 간주 시점과의 관계]</t>
        </is>
      </c>
      <c r="F28" s="3" t="inlineStr"/>
      <c r="G28" s="3" t="inlineStr">
        <is>
          <t>상증세법상 실종선고 시 상속개시일 규정의 조문번호·문언, 민법상 사망 간주 시점(실종기간 만료)과의 관계. 두 시점 사이에 수년의 간격이 생기고 적용 법령·평가기준일·합산 기산점을 한꺼번에 정하므로 실무 영향 큼.</t>
        </is>
      </c>
      <c r="H28" s="3" t="inlineStr">
        <is>
          <t>04_과세대상과_납세의무자.md L158</t>
        </is>
      </c>
      <c r="I28" s="4" t="inlineStr">
        <is>
          <t>미확인</t>
        </is>
      </c>
      <c r="J28" s="3" t="inlineStr"/>
      <c r="K28" s="3" t="inlineStr"/>
      <c r="L28" s="2" t="inlineStr"/>
      <c r="M28" s="5" t="inlineStr"/>
      <c r="N28" s="3" t="inlineStr"/>
      <c r="O28" s="6" t="inlineStr">
        <is>
          <t>4|L0158|1</t>
        </is>
      </c>
      <c r="P28" s="6" t="inlineStr">
        <is>
          <t>미확인</t>
        </is>
      </c>
    </row>
    <row r="29">
      <c r="A29" s="2" t="n">
        <v>28</v>
      </c>
      <c r="B29" s="2" t="n">
        <v>4</v>
      </c>
      <c r="C29" s="3" t="inlineStr">
        <is>
          <t>4.5 자주 묻는 질문</t>
        </is>
      </c>
      <c r="D29" s="2" t="inlineStr">
        <is>
          <t>🟡 중요</t>
        </is>
      </c>
      <c r="E29" s="3" t="inlineStr">
        <is>
          <t>[검증필요 — 동시사망 추정의 민법 조문번호, 상속세 실무상 처리 근거]</t>
        </is>
      </c>
      <c r="F29" s="3" t="inlineStr">
        <is>
          <t>§30</t>
        </is>
      </c>
      <c r="G29" s="3" t="inlineStr">
        <is>
          <t>동시사망 추정의 민법 조문번호(§30 추정), 상속세 실무상 처리 근거.</t>
        </is>
      </c>
      <c r="H29" s="3" t="inlineStr">
        <is>
          <t>04_과세대상과_납세의무자.md L161</t>
        </is>
      </c>
      <c r="I29" s="4" t="inlineStr">
        <is>
          <t>미확인</t>
        </is>
      </c>
      <c r="J29" s="3" t="inlineStr"/>
      <c r="K29" s="3" t="inlineStr"/>
      <c r="L29" s="2" t="inlineStr"/>
      <c r="M29" s="5" t="inlineStr"/>
      <c r="N29" s="3" t="inlineStr"/>
      <c r="O29" s="6" t="inlineStr">
        <is>
          <t>4|L0161|1</t>
        </is>
      </c>
      <c r="P29" s="6" t="inlineStr">
        <is>
          <t>미확인</t>
        </is>
      </c>
    </row>
    <row r="30">
      <c r="A30" s="15" t="n">
        <v>29</v>
      </c>
      <c r="B30" s="15" t="n">
        <v>4</v>
      </c>
      <c r="C30" s="16" t="inlineStr">
        <is>
          <t>4.5 자주 묻는 질문</t>
        </is>
      </c>
      <c r="D30" s="15" t="inlineStr">
        <is>
          <t>🔴 최우선</t>
        </is>
      </c>
      <c r="E30" s="16" t="inlineStr">
        <is>
          <t>[검증필요 — 지분상당액 산정 시행령 산식]</t>
        </is>
      </c>
      <c r="F30" s="16" t="inlineStr"/>
      <c r="G30" s="16" t="inlineStr">
        <is>
          <t>영리법인 주주 과세의 "지분상당액" 산정 시행령 산식. 세액을 직접 결정하는 산식. ※ L59와 함께 처리.</t>
        </is>
      </c>
      <c r="H30" s="16" t="inlineStr">
        <is>
          <t>04_과세대상과_납세의무자.md L164</t>
        </is>
      </c>
      <c r="I30" s="4" t="inlineStr">
        <is>
          <t>미확인</t>
        </is>
      </c>
      <c r="J30" s="16" t="inlineStr"/>
      <c r="K30" s="16" t="inlineStr"/>
      <c r="L30" s="15" t="inlineStr"/>
      <c r="M30" s="17" t="inlineStr"/>
      <c r="N30" s="16" t="inlineStr">
        <is>
          <t>※ L59와 함께 처리</t>
        </is>
      </c>
      <c r="O30" s="18" t="inlineStr">
        <is>
          <t>4|L0164|1</t>
        </is>
      </c>
      <c r="P30" s="18" t="inlineStr">
        <is>
          <t>미확인</t>
        </is>
      </c>
    </row>
    <row r="31">
      <c r="A31" s="15" t="n">
        <v>30</v>
      </c>
      <c r="B31" s="15" t="n">
        <v>5</v>
      </c>
      <c r="C31" s="16" t="inlineStr">
        <is>
          <t>5.2 간주상속재산 3종</t>
        </is>
      </c>
      <c r="D31" s="15" t="inlineStr">
        <is>
          <t>🔴 최우선</t>
        </is>
      </c>
      <c r="E31" s="16" t="inlineStr">
        <is>
          <t>[검증필요: 보험료 분담 시 안분 산식과 그 시행령 조항]</t>
        </is>
      </c>
      <c r="F31" s="16" t="inlineStr">
        <is>
          <t>시행령 §4①</t>
        </is>
      </c>
      <c r="G31" s="16" t="inlineStr">
        <is>
          <t>보험료 분담 시 안분 산식과 시행령 조항. → ✅ 검증 완료: 근거는 시행령 §4①(지급 보험금 총액 × 피상속인 부담 보험료 ÷ 사망 시까지 납입 보험료 총액). 출처 verify_상속재산_상속공제_원문대조.md 상속재산 6. 남은 작업은 원고 마커 삭제 + 출처 각주.</t>
        </is>
      </c>
      <c r="H31" s="16" t="inlineStr">
        <is>
          <t>05_상속재산의_범위.md L54</t>
        </is>
      </c>
      <c r="I31" s="4" t="inlineStr">
        <is>
          <t>확인완료</t>
        </is>
      </c>
      <c r="J31" s="16" t="inlineStr"/>
      <c r="K31" s="16" t="inlineStr"/>
      <c r="L31" s="15" t="inlineStr"/>
      <c r="M31" s="17" t="inlineStr"/>
      <c r="N31" s="16" t="inlineStr">
        <is>
          <t>verify_*.md 원문대조로 확정 — 남은 작업은 원고 마커 삭제 + 출처 각주</t>
        </is>
      </c>
      <c r="O31" s="18" t="inlineStr">
        <is>
          <t>5|L0054|1</t>
        </is>
      </c>
      <c r="P31" s="18" t="inlineStr">
        <is>
          <t>확인완료</t>
        </is>
      </c>
    </row>
    <row r="32">
      <c r="A32" s="2" t="n">
        <v>31</v>
      </c>
      <c r="B32" s="2" t="n">
        <v>5</v>
      </c>
      <c r="C32" s="3" t="inlineStr">
        <is>
          <t>5.2 간주상속재산 3종</t>
        </is>
      </c>
      <c r="D32" s="2" t="inlineStr">
        <is>
          <t>🟡 중요</t>
        </is>
      </c>
      <c r="E32" s="3" t="inlineStr">
        <is>
          <t>[검증필요: §10 각 호 전체 열거 항목·근거 법률명 원문 대조]</t>
        </is>
      </c>
      <c r="F32" s="3" t="inlineStr">
        <is>
          <t>§10</t>
        </is>
      </c>
      <c r="G32" s="3" t="inlineStr">
        <is>
          <t>§10 각 호 전체 열거 항목·근거 법률명 원문 대조. → 부분 확인: 제2·3호에 「공무원 재해보상법」·「군인 재해보상법」이 추가(2018.3.20)된 사실은 확정. 나머지 각 호의 전체 열거는 미확정 — 유지.</t>
        </is>
      </c>
      <c r="H32" s="3" t="inlineStr">
        <is>
          <t>05_상속재산의_범위.md L58</t>
        </is>
      </c>
      <c r="I32" s="4" t="inlineStr">
        <is>
          <t>확인중</t>
        </is>
      </c>
      <c r="J32" s="3" t="inlineStr"/>
      <c r="K32" s="3" t="inlineStr"/>
      <c r="L32" s="2" t="inlineStr"/>
      <c r="M32" s="5" t="inlineStr"/>
      <c r="N32" s="3" t="inlineStr">
        <is>
          <t>verify로 근거 일부 확보, 항목은 유지</t>
        </is>
      </c>
      <c r="O32" s="6" t="inlineStr">
        <is>
          <t>5|L0058|1</t>
        </is>
      </c>
      <c r="P32" s="6" t="inlineStr">
        <is>
          <t>확인중</t>
        </is>
      </c>
    </row>
    <row r="33">
      <c r="A33" s="15" t="n">
        <v>32</v>
      </c>
      <c r="B33" s="15" t="n">
        <v>5</v>
      </c>
      <c r="C33" s="16" t="inlineStr">
        <is>
          <t>5.3 추정상속재산 (법 §15)</t>
        </is>
      </c>
      <c r="D33" s="15" t="inlineStr">
        <is>
          <t>🔴 최우선</t>
        </is>
      </c>
      <c r="E33" s="16" t="inlineStr">
        <is>
          <t>[검증필요: 시행령 §11④ 축자 원문 1:1 대조 — 항·호 표기 포함]</t>
        </is>
      </c>
      <c r="F33" s="16" t="inlineStr">
        <is>
          <t>시행령 §11④ · §11① · §11⑤</t>
        </is>
      </c>
      <c r="G33" s="16" t="inlineStr">
        <is>
          <t>시행령 §11④ 축자 원문 1:1 대조. → ✅ 검증 완료: 미소명액이 Min(처분·인출액×20%, 2억) 미만이면 전액 배제, 이상이면 그 적은 금액을 차감한 나머지 산입. 출처 동 파일 상속재산 3. 함께 확인: 3분류 근거는 §11①이 아니라 §11⑤이고 기타재산은 제4호(3호는 삭제).</t>
        </is>
      </c>
      <c r="H33" s="16" t="inlineStr">
        <is>
          <t>05_상속재산의_범위.md L93</t>
        </is>
      </c>
      <c r="I33" s="4" t="inlineStr">
        <is>
          <t>확인완료</t>
        </is>
      </c>
      <c r="J33" s="16" t="inlineStr"/>
      <c r="K33" s="16" t="inlineStr"/>
      <c r="L33" s="15" t="inlineStr"/>
      <c r="M33" s="17" t="inlineStr"/>
      <c r="N33" s="16" t="inlineStr">
        <is>
          <t>verify_*.md 원문대조로 확정 — 남은 작업은 원고 마커 삭제 + 출처 각주</t>
        </is>
      </c>
      <c r="O33" s="18" t="inlineStr">
        <is>
          <t>5|L0093|1</t>
        </is>
      </c>
      <c r="P33" s="18" t="inlineStr">
        <is>
          <t>확인완료</t>
        </is>
      </c>
    </row>
    <row r="34">
      <c r="A34" s="7" t="n">
        <v>33</v>
      </c>
      <c r="B34" s="7" t="n">
        <v>5</v>
      </c>
      <c r="C34" s="8" t="inlineStr">
        <is>
          <t>5.4 소명 실무</t>
        </is>
      </c>
      <c r="D34" s="7" t="inlineStr">
        <is>
          <t>🟢 보완</t>
        </is>
      </c>
      <c r="E34" s="8" t="inlineStr">
        <is>
          <t>[검증필요: 조사 실무상 금융거래 조회의 기간·근거 규정]</t>
        </is>
      </c>
      <c r="F34" s="8" t="inlineStr">
        <is>
          <t>법 §83 · 금융실명법 §4①2호 · §4⑥5호 · 사무처리규정 §36</t>
        </is>
      </c>
      <c r="G34" s="8" t="inlineStr">
        <is>
          <t>금융거래 조회의 기간·근거 규정. → 부분 확인: 근거 3단(법 §83 → 금융실명법 §4①2호·§4⑥5호 → 사무처리규정 §36)은 확정. "10년" 조회 관행의 법적 근거는 법령·훈령에 없음(실무 관행 추정) — 유지. 원고가 "10년"을 단정하지 않는지 확인.</t>
        </is>
      </c>
      <c r="H34" s="8" t="inlineStr">
        <is>
          <t>05_상속재산의_범위.md L101</t>
        </is>
      </c>
      <c r="I34" s="4" t="inlineStr">
        <is>
          <t>확인중</t>
        </is>
      </c>
      <c r="J34" s="8" t="inlineStr"/>
      <c r="K34" s="8" t="inlineStr"/>
      <c r="L34" s="7" t="inlineStr"/>
      <c r="M34" s="9" t="inlineStr"/>
      <c r="N34" s="8" t="inlineStr">
        <is>
          <t>verify로 근거 일부 확보, 항목은 유지</t>
        </is>
      </c>
      <c r="O34" s="10" t="inlineStr">
        <is>
          <t>5|L0101|1</t>
        </is>
      </c>
      <c r="P34" s="10" t="inlineStr">
        <is>
          <t>확인중</t>
        </is>
      </c>
    </row>
    <row r="35">
      <c r="A35" s="7" t="n">
        <v>34</v>
      </c>
      <c r="B35" s="7" t="n">
        <v>5</v>
      </c>
      <c r="C35" s="8" t="inlineStr">
        <is>
          <t>5.5 판례·사례</t>
        </is>
      </c>
      <c r="D35" s="7" t="inlineStr">
        <is>
          <t>🟢 보완</t>
        </is>
      </c>
      <c r="E35" s="8" t="inlineStr">
        <is>
          <t>[검증필요: 판결 원문 대조]</t>
        </is>
      </c>
      <c r="F35" s="8" t="inlineStr"/>
      <c r="G35" s="8" t="inlineStr">
        <is>
          <t>사망 무렵 예금 대량 인출 사안의 판결 원문 대조(증명책임 배분 법리). 복수 출처 확인 상태. ※ 대법 94누15929는 단일 출처로 인용 배제 확정, 98두3075만 인용.</t>
        </is>
      </c>
      <c r="H35" s="8" t="inlineStr">
        <is>
          <t>05_상속재산의_범위.md L130</t>
        </is>
      </c>
      <c r="I35" s="4" t="inlineStr">
        <is>
          <t>미확인</t>
        </is>
      </c>
      <c r="J35" s="8" t="inlineStr"/>
      <c r="K35" s="8" t="inlineStr"/>
      <c r="L35" s="7" t="inlineStr"/>
      <c r="M35" s="9" t="inlineStr"/>
      <c r="N35" s="8" t="inlineStr">
        <is>
          <t>※ 대법 94누15929는 단일 출처로 인용 배제 확정, 98두3075만 인용</t>
        </is>
      </c>
      <c r="O35" s="10" t="inlineStr">
        <is>
          <t>5|L0130|1</t>
        </is>
      </c>
      <c r="P35" s="10" t="inlineStr">
        <is>
          <t>미확인</t>
        </is>
      </c>
    </row>
    <row r="36">
      <c r="A36" s="15" t="n">
        <v>35</v>
      </c>
      <c r="B36" s="15" t="n">
        <v>5</v>
      </c>
      <c r="C36" s="16" t="inlineStr">
        <is>
          <t>5.5 사례 5-5 〔함정〕</t>
        </is>
      </c>
      <c r="D36" s="15" t="inlineStr">
        <is>
          <t>🔴 최우선</t>
        </is>
      </c>
      <c r="E36" s="16" t="inlineStr">
        <is>
          <t>[검증필요: §15② 산입액 산정 방식의 시행령 원문 대조]</t>
        </is>
      </c>
      <c r="F36" s="16" t="inlineStr">
        <is>
          <t>§15② · 시행령 §11④ · 법 §15② · §11③ · §15①</t>
        </is>
      </c>
      <c r="G36" s="16" t="inlineStr">
        <is>
          <t>§15② 산입액 산정 방식의 시행령 원문 대조. → ✅ 검증 완료: 비금융기관 채무에는 20%/2억 차감이 없다. 시행령 §11④는 "제2항"만 인용하므로 법 §15②(국가·지자체·금융회사등이 아닌 자에 대한 채무 → 령 §11③)는 미입증금액 전액 산입. §15①과 혼동 금지. 출처 동 파일 상속재산 2. → 사례 5-5의 6,000만원 차이 서술은 이 확정으로 뒷받침됨.</t>
        </is>
      </c>
      <c r="H36" s="16" t="inlineStr">
        <is>
          <t>05_상속재산의_범위.md L205</t>
        </is>
      </c>
      <c r="I36" s="4" t="inlineStr">
        <is>
          <t>확인완료</t>
        </is>
      </c>
      <c r="J36" s="16" t="inlineStr"/>
      <c r="K36" s="16" t="inlineStr"/>
      <c r="L36" s="15" t="inlineStr"/>
      <c r="M36" s="17" t="inlineStr"/>
      <c r="N36" s="16" t="inlineStr">
        <is>
          <t>verify_*.md 원문대조로 확정 — 남은 작업은 원고 마커 삭제 + 출처 각주</t>
        </is>
      </c>
      <c r="O36" s="18" t="inlineStr">
        <is>
          <t>5|L0205|1</t>
        </is>
      </c>
      <c r="P36" s="18" t="inlineStr">
        <is>
          <t>확인완료</t>
        </is>
      </c>
    </row>
    <row r="37">
      <c r="A37" s="7" t="n">
        <v>36</v>
      </c>
      <c r="B37" s="7" t="n">
        <v>5</v>
      </c>
      <c r="C37" s="8" t="inlineStr">
        <is>
          <t>5.6 자주 묻는 질문</t>
        </is>
      </c>
      <c r="D37" s="7" t="inlineStr">
        <is>
          <t>🟢 보완</t>
        </is>
      </c>
      <c r="E37" s="8" t="inlineStr">
        <is>
          <t>[검증필요: 저축성 보험의 보험차익 과세와 사망보험금의 경계]</t>
        </is>
      </c>
      <c r="F37" s="8" t="inlineStr">
        <is>
          <t>시행령 §25①</t>
        </is>
      </c>
      <c r="G37" s="8" t="inlineStr">
        <is>
          <t>저축성 보험 보험차익 과세와 사망보험금의 경계. → ✅ 검증 완료: 사망보험금은 소득세법상 이자소득 과세대상이 아니다(소득세법 시행령 §25①이 "저축성보험의 보험차익" 정의에서 사망·질병·상해로 받는 것을 배제). 출처 동 파일 상속재산 7. 잔여: 사망보험금 지연이자의 소득세 취급은 미확정.</t>
        </is>
      </c>
      <c r="H37" s="8" t="inlineStr">
        <is>
          <t>05_상속재산의_범위.md L215</t>
        </is>
      </c>
      <c r="I37" s="4" t="inlineStr">
        <is>
          <t>확인완료</t>
        </is>
      </c>
      <c r="J37" s="8" t="inlineStr"/>
      <c r="K37" s="8" t="inlineStr"/>
      <c r="L37" s="7" t="inlineStr"/>
      <c r="M37" s="9" t="inlineStr"/>
      <c r="N37" s="8" t="inlineStr">
        <is>
          <t>verify_*.md 원문대조로 확정 — 남은 작업은 원고 마커 삭제 + 출처 각주</t>
        </is>
      </c>
      <c r="O37" s="10" t="inlineStr">
        <is>
          <t>5|L0215|1</t>
        </is>
      </c>
      <c r="P37" s="10" t="inlineStr">
        <is>
          <t>확인완료</t>
        </is>
      </c>
    </row>
    <row r="38">
      <c r="A38" s="2" t="n">
        <v>37</v>
      </c>
      <c r="B38" s="2" t="n">
        <v>6</v>
      </c>
      <c r="C38" s="3" t="inlineStr">
        <is>
          <t>6.2 법령 근거 (법 §13·§28)</t>
        </is>
      </c>
      <c r="D38" s="2" t="inlineStr">
        <is>
          <t>🟡 중요</t>
        </is>
      </c>
      <c r="E38" s="3" t="inlineStr">
        <is>
          <t>[검증필요: §47① 합산배제증여재산의 구체적 열거 범위 — 재산취득 후 가치증가분·전환사채 이익·상장 이익 등의 조문번호 대조. 이 책의 검증 체크리스트에 이미 등재된 항목이다]</t>
        </is>
      </c>
      <c r="F38" s="3" t="inlineStr">
        <is>
          <t>§47①</t>
        </is>
      </c>
      <c r="G38" s="3" t="inlineStr">
        <is>
          <t>§47① 합산배제증여재산의 구체적 열거 범위 — 재산취득 후 가치증가분·전환사채 이익·상장 이익 등의 조문번호 대조. ※ 16장(유형별 증여)과 연동.</t>
        </is>
      </c>
      <c r="H38" s="3" t="inlineStr">
        <is>
          <t>06_사전증여재산_합산.md L52</t>
        </is>
      </c>
      <c r="I38" s="4" t="inlineStr">
        <is>
          <t>미확인</t>
        </is>
      </c>
      <c r="J38" s="3" t="inlineStr"/>
      <c r="K38" s="3" t="inlineStr"/>
      <c r="L38" s="2" t="inlineStr"/>
      <c r="M38" s="5" t="inlineStr"/>
      <c r="N38" s="3" t="inlineStr">
        <is>
          <t>※ 16장(유형별 증여)과 연동</t>
        </is>
      </c>
      <c r="O38" s="6" t="inlineStr">
        <is>
          <t>6|L0052|1</t>
        </is>
      </c>
      <c r="P38" s="6" t="inlineStr">
        <is>
          <t>미확인</t>
        </is>
      </c>
    </row>
    <row r="39">
      <c r="A39" s="15" t="n">
        <v>38</v>
      </c>
      <c r="B39" s="15" t="n">
        <v>6</v>
      </c>
      <c r="C39" s="16" t="inlineStr">
        <is>
          <t>6.2 법령 근거</t>
        </is>
      </c>
      <c r="D39" s="15" t="inlineStr">
        <is>
          <t>🔴 최우선</t>
        </is>
      </c>
      <c r="E39" s="16" t="inlineStr">
        <is>
          <t>[검증필요: 한도 규정의 항 번호와 산식 자구, 수증자가 상속인·수유자인 경우의 상속인별 안분 여부 — law.go.kr 현행본 대조]</t>
        </is>
      </c>
      <c r="F39" s="16" t="inlineStr">
        <is>
          <t>법 §28 · §28②</t>
        </is>
      </c>
      <c r="G39" s="16" t="inlineStr">
        <is>
          <t>증여세액공제 한도(법 §28)의 항 번호와 산식 자구, 수증자가 상속인·수유자인 경우의 상속인별 안분 여부. 사례 6-2·6-3의 계산 전제이자 "환급은 일어나지 않는다"는 결론의 근거. ※ 구 체크리스트의 "사례 9-2 §28② 안분한도" 항목이 여기로 통합됨.</t>
        </is>
      </c>
      <c r="H39" s="16" t="inlineStr">
        <is>
          <t>06_사전증여재산_합산.md L62</t>
        </is>
      </c>
      <c r="I39" s="4" t="inlineStr">
        <is>
          <t>미확인</t>
        </is>
      </c>
      <c r="J39" s="16" t="inlineStr"/>
      <c r="K39" s="16" t="inlineStr"/>
      <c r="L39" s="15" t="inlineStr"/>
      <c r="M39" s="17" t="inlineStr"/>
      <c r="N39" s="16" t="inlineStr">
        <is>
          <t>※ 구 체크리스트의 "사례 9-2 §28② 안분한도" 항목이 여기로 통합됨</t>
        </is>
      </c>
      <c r="O39" s="18" t="inlineStr">
        <is>
          <t>6|L0062|1</t>
        </is>
      </c>
      <c r="P39" s="18" t="inlineStr">
        <is>
          <t>미확인</t>
        </is>
      </c>
    </row>
    <row r="40">
      <c r="A40" s="2" t="n">
        <v>39</v>
      </c>
      <c r="B40" s="2" t="n">
        <v>6</v>
      </c>
      <c r="C40" s="3" t="inlineStr">
        <is>
          <t>6.5 자주 묻는 질문</t>
        </is>
      </c>
      <c r="D40" s="2" t="inlineStr">
        <is>
          <t>🟡 중요</t>
        </is>
      </c>
      <c r="E40" s="3" t="inlineStr">
        <is>
          <t>[검증필요: 상속인 지위 판정의 기준 시점 — law.go.kr 제13조 원문 및 국세청 해석 대조]</t>
        </is>
      </c>
      <c r="F40" s="3" t="inlineStr">
        <is>
          <t>§13</t>
        </is>
      </c>
      <c r="G40" s="3" t="inlineStr">
        <is>
          <t>상속인 지위 판정의 기준 시점(증여 시점 vs 상속개시 시점) — law.go.kr §13 원문 및 국세청 해석 대조. 5년/10년을 가르므로 실무 영향 큼.</t>
        </is>
      </c>
      <c r="H40" s="3" t="inlineStr">
        <is>
          <t>06_사전증여재산_합산.md L221</t>
        </is>
      </c>
      <c r="I40" s="4" t="inlineStr">
        <is>
          <t>미확인</t>
        </is>
      </c>
      <c r="J40" s="3" t="inlineStr"/>
      <c r="K40" s="3" t="inlineStr"/>
      <c r="L40" s="2" t="inlineStr"/>
      <c r="M40" s="5" t="inlineStr"/>
      <c r="N40" s="3" t="inlineStr"/>
      <c r="O40" s="6" t="inlineStr">
        <is>
          <t>6|L0221|1</t>
        </is>
      </c>
      <c r="P40" s="6" t="inlineStr">
        <is>
          <t>미확인</t>
        </is>
      </c>
    </row>
    <row r="41">
      <c r="A41" s="7" t="n">
        <v>40</v>
      </c>
      <c r="B41" s="7" t="n">
        <v>7</v>
      </c>
      <c r="C41" s="8" t="inlineStr">
        <is>
          <t>7.2 공제 3종 (법 §14)</t>
        </is>
      </c>
      <c r="D41" s="7" t="inlineStr">
        <is>
          <t>🟢 보완</t>
        </is>
      </c>
      <c r="E41" s="8" t="inlineStr">
        <is>
          <t>[검증필요 — 장례 직접 소요액의 세부 범위·집행기준 번호]</t>
        </is>
      </c>
      <c r="F41" s="8" t="inlineStr"/>
      <c r="G41" s="8" t="inlineStr">
        <is>
          <t>장례 직접 소요액의 세부 범위(묘지 구입비·비석 등)·집행기준 번호.</t>
        </is>
      </c>
      <c r="H41" s="8" t="inlineStr">
        <is>
          <t>07_상속세_과세가액.md L60</t>
        </is>
      </c>
      <c r="I41" s="4" t="inlineStr">
        <is>
          <t>미확인</t>
        </is>
      </c>
      <c r="J41" s="8" t="inlineStr"/>
      <c r="K41" s="8" t="inlineStr"/>
      <c r="L41" s="7" t="inlineStr"/>
      <c r="M41" s="9" t="inlineStr"/>
      <c r="N41" s="8" t="inlineStr"/>
      <c r="O41" s="10" t="inlineStr">
        <is>
          <t>7|L0060|1</t>
        </is>
      </c>
      <c r="P41" s="10" t="inlineStr">
        <is>
          <t>미확인</t>
        </is>
      </c>
    </row>
    <row r="42">
      <c r="A42" s="15" t="n">
        <v>41</v>
      </c>
      <c r="B42" s="15" t="n">
        <v>7</v>
      </c>
      <c r="C42" s="16" t="inlineStr">
        <is>
          <t>7.3 비과세·불산입 개요</t>
        </is>
      </c>
      <c r="D42" s="15" t="inlineStr">
        <is>
          <t>🔴 최우선</t>
        </is>
      </c>
      <c r="E42" s="16" t="inlineStr">
        <is>
          <t>[검증필요: 세부 비율 현행 확인]</t>
        </is>
      </c>
      <c r="F42" s="16" t="inlineStr"/>
      <c r="G42" s="16" t="inlineStr">
        <is>
          <t>공익법인 출연 주식 보유한도 세부 비율(원칙 10%, 요건별 5·20%)의 현행 확인. ※ 26장 L27과 동일 쟁점 — 함께 처리.</t>
        </is>
      </c>
      <c r="H42" s="16" t="inlineStr">
        <is>
          <t>07_상속세_과세가액.md L72</t>
        </is>
      </c>
      <c r="I42" s="4" t="inlineStr">
        <is>
          <t>미확인</t>
        </is>
      </c>
      <c r="J42" s="16" t="inlineStr"/>
      <c r="K42" s="16" t="inlineStr"/>
      <c r="L42" s="15" t="inlineStr"/>
      <c r="M42" s="17" t="inlineStr"/>
      <c r="N42" s="16" t="inlineStr">
        <is>
          <t>※ 26장 L27과 동일 쟁점 — 함께 처리</t>
        </is>
      </c>
      <c r="O42" s="18" t="inlineStr">
        <is>
          <t>7|L0072|1</t>
        </is>
      </c>
      <c r="P42" s="18" t="inlineStr">
        <is>
          <t>미확인</t>
        </is>
      </c>
    </row>
    <row r="43">
      <c r="A43" s="7" t="n">
        <v>42</v>
      </c>
      <c r="B43" s="7" t="n">
        <v>7</v>
      </c>
      <c r="C43" s="8" t="inlineStr">
        <is>
          <t>7.3 비과세·불산입 개요</t>
        </is>
      </c>
      <c r="D43" s="7" t="inlineStr">
        <is>
          <t>🟢 보완</t>
        </is>
      </c>
      <c r="E43" s="8" t="inlineStr">
        <is>
          <t>[검증필요 — 채무 사후관리의 근거 규정·운영 주기]</t>
        </is>
      </c>
      <c r="F43" s="8" t="inlineStr">
        <is>
          <t>법 §76⑤</t>
        </is>
      </c>
      <c r="G43" s="8" t="inlineStr">
        <is>
          <t>채무 사후관리의 근거 규정·운영 주기(상속재산 30억 이상 결정 후 5년 사후관리 — 법 §76⑤와의 관계).</t>
        </is>
      </c>
      <c r="H43" s="8" t="inlineStr">
        <is>
          <t>07_상속세_과세가액.md L98</t>
        </is>
      </c>
      <c r="I43" s="4" t="inlineStr">
        <is>
          <t>미확인</t>
        </is>
      </c>
      <c r="J43" s="8" t="inlineStr"/>
      <c r="K43" s="8" t="inlineStr"/>
      <c r="L43" s="7" t="inlineStr"/>
      <c r="M43" s="9" t="inlineStr"/>
      <c r="N43" s="8" t="inlineStr"/>
      <c r="O43" s="10" t="inlineStr">
        <is>
          <t>7|L0098|1</t>
        </is>
      </c>
      <c r="P43" s="10" t="inlineStr">
        <is>
          <t>미확인</t>
        </is>
      </c>
    </row>
    <row r="44">
      <c r="A44" s="7" t="n">
        <v>43</v>
      </c>
      <c r="B44" s="7" t="n">
        <v>7</v>
      </c>
      <c r="C44" s="8" t="inlineStr">
        <is>
          <t>7.3 비과세·불산입 개요</t>
        </is>
      </c>
      <c r="D44" s="7" t="inlineStr">
        <is>
          <t>🟢 보완</t>
        </is>
      </c>
      <c r="E44" s="8" t="inlineStr">
        <is>
          <t>[검증필요 — 대납 병원비 관련 판례 사건번호]</t>
        </is>
      </c>
      <c r="F44" s="8" t="inlineStr"/>
      <c r="G44" s="8" t="inlineStr">
        <is>
          <t>대납 병원비 관련 판례 사건번호.</t>
        </is>
      </c>
      <c r="H44" s="8" t="inlineStr">
        <is>
          <t>07_상속세_과세가액.md L100</t>
        </is>
      </c>
      <c r="I44" s="4" t="inlineStr">
        <is>
          <t>미확인</t>
        </is>
      </c>
      <c r="J44" s="8" t="inlineStr"/>
      <c r="K44" s="8" t="inlineStr"/>
      <c r="L44" s="7" t="inlineStr"/>
      <c r="M44" s="9" t="inlineStr"/>
      <c r="N44" s="8" t="inlineStr"/>
      <c r="O44" s="10" t="inlineStr">
        <is>
          <t>7|L0100|1</t>
        </is>
      </c>
      <c r="P44" s="10" t="inlineStr">
        <is>
          <t>미확인</t>
        </is>
      </c>
    </row>
    <row r="45">
      <c r="A45" s="15" t="n">
        <v>44</v>
      </c>
      <c r="B45" s="15" t="n">
        <v>7</v>
      </c>
      <c r="C45" s="16" t="inlineStr">
        <is>
          <t>7.5 자주 묻는 질문</t>
        </is>
      </c>
      <c r="D45" s="15" t="inlineStr">
        <is>
          <t>🔴 최우선</t>
        </is>
      </c>
      <c r="E45" s="16" t="inlineStr">
        <is>
          <t>[검증필요 — 감정평가수수료 등 별도 공제 규정의 유무·한도]</t>
        </is>
      </c>
      <c r="F45" s="16" t="inlineStr">
        <is>
          <t>§24 · §55①</t>
        </is>
      </c>
      <c r="G45" s="16" t="inlineStr">
        <is>
          <t>감정평가수수료 등 별도 공제 규정의 유무·한도. 과세표준을 직접 줄이는 항목이므로 유무 자체를 확정할 것. ※ §24 종합한도에서 감정평가수수료(§55①)는 차감하지 않는다는 확정 사항(§3.2)과 혼동 금지.</t>
        </is>
      </c>
      <c r="H45" s="16" t="inlineStr">
        <is>
          <t>07_상속세_과세가액.md L181</t>
        </is>
      </c>
      <c r="I45" s="4" t="inlineStr">
        <is>
          <t>미확인</t>
        </is>
      </c>
      <c r="J45" s="16" t="inlineStr"/>
      <c r="K45" s="16" t="inlineStr"/>
      <c r="L45" s="15" t="inlineStr"/>
      <c r="M45" s="17" t="inlineStr"/>
      <c r="N45" s="16" t="inlineStr">
        <is>
          <t>※ §24 종합한도에서 감정평가수수료(§55①)는 차감하지 않는다는 확정 사항(§3.2)과 혼동 금지</t>
        </is>
      </c>
      <c r="O45" s="18" t="inlineStr">
        <is>
          <t>7|L0181|1</t>
        </is>
      </c>
      <c r="P45" s="18" t="inlineStr">
        <is>
          <t>미확인</t>
        </is>
      </c>
    </row>
    <row r="46">
      <c r="A46" s="15" t="n">
        <v>45</v>
      </c>
      <c r="B46" s="15" t="n">
        <v>8</v>
      </c>
      <c r="C46" s="16" t="inlineStr">
        <is>
          <t>8.2 공제 항목별 요건</t>
        </is>
      </c>
      <c r="D46" s="15" t="inlineStr">
        <is>
          <t>🔴 최우선</t>
        </is>
      </c>
      <c r="E46" s="16" t="inlineStr">
        <is>
          <t>[검증필요 — 연수 계산에서 1년 미만의 단수를 1년으로 보는 규정의 유무와 해당 조항]</t>
        </is>
      </c>
      <c r="F46" s="16" t="inlineStr"/>
      <c r="G46" s="16" t="inlineStr">
        <is>
          <t>연수 계산에서 1년 미만의 단수를 1년으로 보는 규정의 유무와 조항. 미성년자공제·장애인공제 금액을 직접 결정.</t>
        </is>
      </c>
      <c r="H46" s="16" t="inlineStr">
        <is>
          <t>08_상속공제1_기초일괄인적.md L51</t>
        </is>
      </c>
      <c r="I46" s="4" t="inlineStr">
        <is>
          <t>미확인</t>
        </is>
      </c>
      <c r="J46" s="16" t="inlineStr"/>
      <c r="K46" s="16" t="inlineStr"/>
      <c r="L46" s="15" t="inlineStr"/>
      <c r="M46" s="17" t="inlineStr"/>
      <c r="N46" s="16" t="inlineStr"/>
      <c r="O46" s="18" t="inlineStr">
        <is>
          <t>8|L0051|1</t>
        </is>
      </c>
      <c r="P46" s="18" t="inlineStr">
        <is>
          <t>미확인</t>
        </is>
      </c>
    </row>
    <row r="47">
      <c r="A47" s="7" t="n">
        <v>46</v>
      </c>
      <c r="B47" s="7" t="n">
        <v>8</v>
      </c>
      <c r="C47" s="8" t="inlineStr">
        <is>
          <t>8.2 공제 항목별 요건</t>
        </is>
      </c>
      <c r="D47" s="7" t="inlineStr">
        <is>
          <t>🟢 보완</t>
        </is>
      </c>
      <c r="E47" s="8" t="inlineStr">
        <is>
          <t>[검증필요: 해당 유권해석 예규 번호]</t>
        </is>
      </c>
      <c r="F47" s="8" t="inlineStr">
        <is>
          <t>§21②</t>
        </is>
      </c>
      <c r="G47" s="8" t="inlineStr">
        <is>
          <t>§21② "배우자 단독 상속"을 좁게 보는 과세관청 해석의 예규 번호.</t>
        </is>
      </c>
      <c r="H47" s="8" t="inlineStr">
        <is>
          <t>08_상속공제1_기초일괄인적.md L64</t>
        </is>
      </c>
      <c r="I47" s="4" t="inlineStr">
        <is>
          <t>미확인</t>
        </is>
      </c>
      <c r="J47" s="8" t="inlineStr"/>
      <c r="K47" s="8" t="inlineStr"/>
      <c r="L47" s="7" t="inlineStr"/>
      <c r="M47" s="9" t="inlineStr"/>
      <c r="N47" s="8" t="inlineStr"/>
      <c r="O47" s="10" t="inlineStr">
        <is>
          <t>8|L0064|1</t>
        </is>
      </c>
      <c r="P47" s="10" t="inlineStr">
        <is>
          <t>미확인</t>
        </is>
      </c>
    </row>
    <row r="48">
      <c r="A48" s="7" t="n">
        <v>47</v>
      </c>
      <c r="B48" s="7" t="n">
        <v>8</v>
      </c>
      <c r="C48" s="8" t="inlineStr">
        <is>
          <t>8.4 배우자가 홀로 상속받을 때</t>
        </is>
      </c>
      <c r="D48" s="7" t="inlineStr">
        <is>
          <t>🟢 보완</t>
        </is>
      </c>
      <c r="E48" s="8" t="inlineStr">
        <is>
          <t>[검증필요: 배우자 단독상속 일괄공제 배제 범위에 관한 예규 번호]</t>
        </is>
      </c>
      <c r="F48" s="8" t="inlineStr"/>
      <c r="G48" s="8" t="inlineStr">
        <is>
          <t>배우자 단독상속 일괄공제 배제 범위에 관한 예규 번호. ※ L64·9장 L105와 동일 쟁점 3건 — 한 번에 처리. 원고가 "자녀가 있으면 상속포기·협의분할 어느 쪽이든 일괄공제 5억은 살아 있다"는 실무 결론을 이 해석 위에 세우고 있어, 예규가 확인되지 않으면 결론의 강도를 낮춰야 한다.</t>
        </is>
      </c>
      <c r="H48" s="8" t="inlineStr">
        <is>
          <t>08_상속공제1_기초일괄인적.md L121</t>
        </is>
      </c>
      <c r="I48" s="4" t="inlineStr">
        <is>
          <t>미확인</t>
        </is>
      </c>
      <c r="J48" s="8" t="inlineStr"/>
      <c r="K48" s="8" t="inlineStr"/>
      <c r="L48" s="7" t="inlineStr"/>
      <c r="M48" s="9" t="inlineStr"/>
      <c r="N48" s="8" t="inlineStr">
        <is>
          <t>※ L64·9장 L105와 동일 쟁점 3건 — 한 번에 처리. 원고가 "자녀가 있으면 상속포기·협의분할 어느 쪽이든 일괄공제 5억은 살아 있다"는 실무 결론을 이 해석 위에 세우고 있어, 예규가 확인되지 않으면 결론의 강도를 낮춰야 한다</t>
        </is>
      </c>
      <c r="O48" s="10" t="inlineStr">
        <is>
          <t>8|L0121|1</t>
        </is>
      </c>
      <c r="P48" s="10" t="inlineStr">
        <is>
          <t>미확인</t>
        </is>
      </c>
    </row>
    <row r="49">
      <c r="A49" s="7" t="n">
        <v>48</v>
      </c>
      <c r="B49" s="7" t="n">
        <v>8</v>
      </c>
      <c r="C49" s="8" t="inlineStr">
        <is>
          <t>8.7 자주 묻는 질문</t>
        </is>
      </c>
      <c r="D49" s="7" t="inlineStr">
        <is>
          <t>🟢 보완</t>
        </is>
      </c>
      <c r="E49" s="8" t="inlineStr">
        <is>
          <t>[검증필요 — 손자녀에 대한 자녀공제 적용 여부를 다룬 국세청 해석·예규 번호]</t>
        </is>
      </c>
      <c r="F49" s="8" t="inlineStr"/>
      <c r="G49" s="8" t="inlineStr">
        <is>
          <t>손자녀에 대한 자녀공제 적용 여부를 다룬 국세청 해석·예규 번호.</t>
        </is>
      </c>
      <c r="H49" s="8" t="inlineStr">
        <is>
          <t>08_상속공제1_기초일괄인적.md L279</t>
        </is>
      </c>
      <c r="I49" s="4" t="inlineStr">
        <is>
          <t>미확인</t>
        </is>
      </c>
      <c r="J49" s="8" t="inlineStr"/>
      <c r="K49" s="8" t="inlineStr"/>
      <c r="L49" s="7" t="inlineStr"/>
      <c r="M49" s="9" t="inlineStr"/>
      <c r="N49" s="8" t="inlineStr"/>
      <c r="O49" s="10" t="inlineStr">
        <is>
          <t>8|L0279|1</t>
        </is>
      </c>
      <c r="P49" s="10" t="inlineStr">
        <is>
          <t>미확인</t>
        </is>
      </c>
    </row>
    <row r="50">
      <c r="A50" s="15" t="n">
        <v>49</v>
      </c>
      <c r="B50" s="15" t="n">
        <v>8</v>
      </c>
      <c r="C50" s="16" t="inlineStr">
        <is>
          <t>8.7 자주 묻는 질문</t>
        </is>
      </c>
      <c r="D50" s="15" t="inlineStr">
        <is>
          <t>🔴 최우선</t>
        </is>
      </c>
      <c r="E50" s="16" t="inlineStr">
        <is>
          <t>[검증필요 — 태아의 미성년자공제 연수 산정 방법과 출생 사실 증명 절차]</t>
        </is>
      </c>
      <c r="F50" s="16" t="inlineStr"/>
      <c r="G50" s="16" t="inlineStr">
        <is>
          <t>태아의 미성년자공제 연수 산정 방법(공제액 직결)과 출생 사실 증명 절차. 태아 포함은 2023.1.1. 이후 상속개시분부터.</t>
        </is>
      </c>
      <c r="H50" s="16" t="inlineStr">
        <is>
          <t>08_상속공제1_기초일괄인적.md L282</t>
        </is>
      </c>
      <c r="I50" s="4" t="inlineStr">
        <is>
          <t>미확인</t>
        </is>
      </c>
      <c r="J50" s="16" t="inlineStr"/>
      <c r="K50" s="16" t="inlineStr"/>
      <c r="L50" s="15" t="inlineStr"/>
      <c r="M50" s="17" t="inlineStr"/>
      <c r="N50" s="16" t="inlineStr"/>
      <c r="O50" s="18" t="inlineStr">
        <is>
          <t>8|L0282|1</t>
        </is>
      </c>
      <c r="P50" s="18" t="inlineStr">
        <is>
          <t>미확인</t>
        </is>
      </c>
    </row>
    <row r="51">
      <c r="A51" s="2" t="n">
        <v>50</v>
      </c>
      <c r="B51" s="2" t="n">
        <v>8</v>
      </c>
      <c r="C51" s="3" t="inlineStr">
        <is>
          <t>8.7 자주 묻는 질문</t>
        </is>
      </c>
      <c r="D51" s="2" t="inlineStr">
        <is>
          <t>🟡 중요</t>
        </is>
      </c>
      <c r="E51" s="3" t="inlineStr">
        <is>
          <t>[검증필요 — 장애인의 범위를 정한 시행령 조항 번호와 각 호 열거]</t>
        </is>
      </c>
      <c r="F51" s="3" t="inlineStr"/>
      <c r="G51" s="3" t="inlineStr">
        <is>
          <t>장애인의 범위를 정한 시행령 조항 번호와 각 호 열거. ※ 기대여명 통계표 작성 주체는 2025.10.1.부터 "국가데이터처장"으로 표기 — 원고 반영 확인. 사례의 기대여명(30·40·65년)은 가정값임이 본문에 명시됨(해소).</t>
        </is>
      </c>
      <c r="H51" s="3" t="inlineStr">
        <is>
          <t>08_상속공제1_기초일괄인적.md L285</t>
        </is>
      </c>
      <c r="I51" s="4" t="inlineStr">
        <is>
          <t>미확인</t>
        </is>
      </c>
      <c r="J51" s="3" t="inlineStr"/>
      <c r="K51" s="3" t="inlineStr"/>
      <c r="L51" s="2" t="inlineStr"/>
      <c r="M51" s="5" t="inlineStr"/>
      <c r="N51" s="3" t="inlineStr">
        <is>
          <t>※ 기대여명 통계표 작성 주체는 2025.10.1.부터 "국가데이터처장"으로 표기 — 원고 반영 확인. 사례의 기대여명(30·40·65년)은 가정값임이 본문에 명시됨(해소)</t>
        </is>
      </c>
      <c r="O51" s="6" t="inlineStr">
        <is>
          <t>8|L0285|1</t>
        </is>
      </c>
      <c r="P51" s="6" t="inlineStr">
        <is>
          <t>미확인</t>
        </is>
      </c>
    </row>
    <row r="52">
      <c r="A52" s="7" t="n">
        <v>51</v>
      </c>
      <c r="B52" s="7" t="n">
        <v>8</v>
      </c>
      <c r="C52" s="8" t="inlineStr">
        <is>
          <t>8.7 자주 묻는 질문</t>
        </is>
      </c>
      <c r="D52" s="7" t="inlineStr">
        <is>
          <t>🟢 보완</t>
        </is>
      </c>
      <c r="E52" s="8" t="inlineStr">
        <is>
          <t>[검증필요 — 상속공제 선택의 사후 변경에 관한 국세청 해석·판례]</t>
        </is>
      </c>
      <c r="F52" s="8" t="inlineStr"/>
      <c r="G52" s="8" t="inlineStr">
        <is>
          <t>상속공제 선택의 사후 변경(경정청구 가부)에 관한 국세청 해석·판례.</t>
        </is>
      </c>
      <c r="H52" s="8" t="inlineStr">
        <is>
          <t>08_상속공제1_기초일괄인적.md L291</t>
        </is>
      </c>
      <c r="I52" s="4" t="inlineStr">
        <is>
          <t>미확인</t>
        </is>
      </c>
      <c r="J52" s="8" t="inlineStr"/>
      <c r="K52" s="8" t="inlineStr"/>
      <c r="L52" s="7" t="inlineStr"/>
      <c r="M52" s="9" t="inlineStr"/>
      <c r="N52" s="8" t="inlineStr"/>
      <c r="O52" s="10" t="inlineStr">
        <is>
          <t>8|L0291|1</t>
        </is>
      </c>
      <c r="P52" s="10" t="inlineStr">
        <is>
          <t>미확인</t>
        </is>
      </c>
    </row>
    <row r="53">
      <c r="A53" s="15" t="n">
        <v>52</v>
      </c>
      <c r="B53" s="15" t="n">
        <v>9</v>
      </c>
      <c r="C53" s="16" t="inlineStr">
        <is>
          <t>9.2 한도식의 해부 (법 §19)</t>
        </is>
      </c>
      <c r="D53" s="15" t="inlineStr">
        <is>
          <t>🔴 최우선</t>
        </is>
      </c>
      <c r="E53" s="16" t="inlineStr">
        <is>
          <t>[검증필요: 한도식의 법문 축자 원문 — law.go.kr 게재본이 이미지 수식이어서 구성요소만 복수 출처 확인. 법전 대조 권장]</t>
        </is>
      </c>
      <c r="F53" s="16" t="inlineStr">
        <is>
          <t>§19①</t>
        </is>
      </c>
      <c r="G53" s="16" t="inlineStr">
        <is>
          <t>§19①1 한도식 (A−B+C)×D−E의 법문 축자 원문. law.go.kr 게재본이 이미지 수식이어서 API로도 취득 불가 — 종이 법전 또는 관보로 대조. 구성요소는 복수 출처 일치. 이 장 전체 계산의 뿌리이므로 🔴 중에서도 최우선.</t>
        </is>
      </c>
      <c r="H53" s="16" t="inlineStr">
        <is>
          <t>09_상속공제2_배우자상속공제.md L77</t>
        </is>
      </c>
      <c r="I53" s="4" t="inlineStr">
        <is>
          <t>미확인</t>
        </is>
      </c>
      <c r="J53" s="16" t="inlineStr"/>
      <c r="K53" s="16" t="inlineStr"/>
      <c r="L53" s="15" t="inlineStr"/>
      <c r="M53" s="17" t="inlineStr"/>
      <c r="N53" s="16" t="inlineStr"/>
      <c r="O53" s="18" t="inlineStr">
        <is>
          <t>9|L0077|1</t>
        </is>
      </c>
      <c r="P53" s="18" t="inlineStr">
        <is>
          <t>미확인</t>
        </is>
      </c>
    </row>
    <row r="54">
      <c r="A54" s="7" t="n">
        <v>53</v>
      </c>
      <c r="B54" s="7" t="n">
        <v>9</v>
      </c>
      <c r="C54" s="8" t="inlineStr">
        <is>
          <t>9.2 한도식의 해부</t>
        </is>
      </c>
      <c r="D54" s="7" t="inlineStr">
        <is>
          <t>🟢 보완</t>
        </is>
      </c>
      <c r="E54" s="8" t="inlineStr">
        <is>
          <t>[검증필요: 협의분할로 배우자가 전부 취득한 경우 일괄공제 선택 가부에 관한 예규 문서번호 — 조사 시점 미확정]</t>
        </is>
      </c>
      <c r="F54" s="8" t="inlineStr"/>
      <c r="G54" s="8" t="inlineStr">
        <is>
          <t>협의분할로 배우자가 전부 취득한 경우 일괄공제 선택 가부에 관한 예규 문서번호. ※ 8장 L64·L121과 동일 쟁점.</t>
        </is>
      </c>
      <c r="H54" s="8" t="inlineStr">
        <is>
          <t>09_상속공제2_배우자상속공제.md L105</t>
        </is>
      </c>
      <c r="I54" s="4" t="inlineStr">
        <is>
          <t>미확인</t>
        </is>
      </c>
      <c r="J54" s="8" t="inlineStr"/>
      <c r="K54" s="8" t="inlineStr"/>
      <c r="L54" s="7" t="inlineStr"/>
      <c r="M54" s="9" t="inlineStr"/>
      <c r="N54" s="8" t="inlineStr">
        <is>
          <t>※ 8장 L64·L121과 동일 쟁점</t>
        </is>
      </c>
      <c r="O54" s="10" t="inlineStr">
        <is>
          <t>9|L0105|1</t>
        </is>
      </c>
      <c r="P54" s="10" t="inlineStr">
        <is>
          <t>미확인</t>
        </is>
      </c>
    </row>
    <row r="55">
      <c r="A55" s="2" t="n">
        <v>54</v>
      </c>
      <c r="B55" s="2" t="n">
        <v>9</v>
      </c>
      <c r="C55" s="3" t="inlineStr">
        <is>
          <t>9.3 분할 기한</t>
        </is>
      </c>
      <c r="D55" s="2" t="inlineStr">
        <is>
          <t>🟡 중요</t>
        </is>
      </c>
      <c r="E55" s="3" t="inlineStr">
        <is>
          <t>[검증필요: 분할 사실의 신고 절차·부득이한 사유의 신고 요건과 그 시행령 위임 조항 번호 — 조사 자료 미수록]</t>
        </is>
      </c>
      <c r="F55" s="3" t="inlineStr"/>
      <c r="G55" s="3" t="inlineStr">
        <is>
          <t>분할 사실의 신고 절차·부득이한 사유의 신고 요건과 시행령 위임 조항 번호. 조사 자료 미수록.</t>
        </is>
      </c>
      <c r="H55" s="3" t="inlineStr">
        <is>
          <t>09_상속공제2_배우자상속공제.md L151</t>
        </is>
      </c>
      <c r="I55" s="4" t="inlineStr">
        <is>
          <t>미확인</t>
        </is>
      </c>
      <c r="J55" s="3" t="inlineStr"/>
      <c r="K55" s="3" t="inlineStr"/>
      <c r="L55" s="2" t="inlineStr"/>
      <c r="M55" s="5" t="inlineStr"/>
      <c r="N55" s="3" t="inlineStr"/>
      <c r="O55" s="6" t="inlineStr">
        <is>
          <t>9|L0151|1</t>
        </is>
      </c>
      <c r="P55" s="6" t="inlineStr">
        <is>
          <t>미확인</t>
        </is>
      </c>
    </row>
    <row r="56">
      <c r="A56" s="2" t="n">
        <v>55</v>
      </c>
      <c r="B56" s="2" t="n">
        <v>9</v>
      </c>
      <c r="C56" s="3" t="inlineStr">
        <is>
          <t>9.6 사례 9-5 〔함정〕</t>
        </is>
      </c>
      <c r="D56" s="2" t="inlineStr">
        <is>
          <t>🟡 중요</t>
        </is>
      </c>
      <c r="E56" s="3" t="inlineStr">
        <is>
          <t>[검증필요: §19 제1항 제1호 B의 법문 축자 표현이 §24의 "선순위인 상속인이 아닌 자"와 같은지 — §19 한도식은 법문이 이미지 수식이어서 축자 대조 미완]</t>
        </is>
      </c>
      <c r="F56" s="3" t="inlineStr">
        <is>
          <t>§19① · §24 · §19</t>
        </is>
      </c>
      <c r="G56" s="3" t="inlineStr">
        <is>
          <t>§19①1의 B가 §24의 "선순위인 상속인이 아닌 자"와 같은 표현인지. → 부분 확인: §24 쪽은 "선순위인 상속인이 아닌 자"로 원문 확정(출처 verify_상속재산_상속공제_원문대조.md 상속공제 3). §19 쪽은 이미지 수식이라 축자 대조 미완 — 유지. 선순위 상속인이 있는데 후순위 상속인에게 유증한 국면에서 두 조문의 결론이 갈릴 수 있음.</t>
        </is>
      </c>
      <c r="H56" s="3" t="inlineStr">
        <is>
          <t>09_상속공제2_배우자상속공제.md L308</t>
        </is>
      </c>
      <c r="I56" s="4" t="inlineStr">
        <is>
          <t>확인중</t>
        </is>
      </c>
      <c r="J56" s="3" t="inlineStr"/>
      <c r="K56" s="3" t="inlineStr"/>
      <c r="L56" s="2" t="inlineStr"/>
      <c r="M56" s="5" t="inlineStr"/>
      <c r="N56" s="3" t="inlineStr">
        <is>
          <t>verify로 근거 일부 확보, 항목은 유지</t>
        </is>
      </c>
      <c r="O56" s="6" t="inlineStr">
        <is>
          <t>9|L0308|1</t>
        </is>
      </c>
      <c r="P56" s="6" t="inlineStr">
        <is>
          <t>확인중</t>
        </is>
      </c>
    </row>
    <row r="57">
      <c r="A57" s="2" t="n">
        <v>56</v>
      </c>
      <c r="B57" s="2" t="n">
        <v>9</v>
      </c>
      <c r="C57" s="3" t="inlineStr">
        <is>
          <t>9.7 자주 묻는 질문</t>
        </is>
      </c>
      <c r="D57" s="2" t="inlineStr">
        <is>
          <t>🟡 중요</t>
        </is>
      </c>
      <c r="E57" s="3" t="inlineStr">
        <is>
          <t>[검증필요: 혼인 기간 요건의 부존재를 법문으로 확인 — 조사 자료에는 요건으로 등재되어 있지 않음]</t>
        </is>
      </c>
      <c r="F57" s="3" t="inlineStr"/>
      <c r="G57" s="3" t="inlineStr">
        <is>
          <t>혼인 기간 요건의 부존재를 법문으로 확인(조사 자료에는 요건으로 등재되어 있지 않음). 부존재의 확인이라 2차 출처로는 닫히지 않음 — 조문 통독 필요.</t>
        </is>
      </c>
      <c r="H57" s="3" t="inlineStr">
        <is>
          <t>09_상속공제2_배우자상속공제.md L321</t>
        </is>
      </c>
      <c r="I57" s="4" t="inlineStr">
        <is>
          <t>미확인</t>
        </is>
      </c>
      <c r="J57" s="3" t="inlineStr"/>
      <c r="K57" s="3" t="inlineStr"/>
      <c r="L57" s="2" t="inlineStr"/>
      <c r="M57" s="5" t="inlineStr"/>
      <c r="N57" s="3" t="inlineStr"/>
      <c r="O57" s="6" t="inlineStr">
        <is>
          <t>9|L0321|1</t>
        </is>
      </c>
      <c r="P57" s="6" t="inlineStr">
        <is>
          <t>미확인</t>
        </is>
      </c>
    </row>
    <row r="58">
      <c r="A58" s="7" t="n">
        <v>57</v>
      </c>
      <c r="B58" s="7" t="n">
        <v>9</v>
      </c>
      <c r="C58" s="8" t="inlineStr">
        <is>
          <t>9.7 자주 묻는 질문</t>
        </is>
      </c>
      <c r="D58" s="7" t="inlineStr">
        <is>
          <t>🟢 보완</t>
        </is>
      </c>
      <c r="E58" s="8" t="inlineStr">
        <is>
          <t>[검증필요: 법정상속분에 따른 공동상속등기가 §19②의 "분할"에 해당하는지에 관한 예규·판례]</t>
        </is>
      </c>
      <c r="F58" s="8" t="inlineStr">
        <is>
          <t>§19②</t>
        </is>
      </c>
      <c r="G58" s="8" t="inlineStr">
        <is>
          <t>법정상속분에 따른 공동상속등기가 §19②의 "분할"에 해당하는지에 관한 예규·판례.</t>
        </is>
      </c>
      <c r="H58" s="8" t="inlineStr">
        <is>
          <t>09_상속공제2_배우자상속공제.md L324</t>
        </is>
      </c>
      <c r="I58" s="4" t="inlineStr">
        <is>
          <t>미확인</t>
        </is>
      </c>
      <c r="J58" s="8" t="inlineStr"/>
      <c r="K58" s="8" t="inlineStr"/>
      <c r="L58" s="7" t="inlineStr"/>
      <c r="M58" s="9" t="inlineStr"/>
      <c r="N58" s="8" t="inlineStr"/>
      <c r="O58" s="10" t="inlineStr">
        <is>
          <t>9|L0324|1</t>
        </is>
      </c>
      <c r="P58" s="10" t="inlineStr">
        <is>
          <t>미확인</t>
        </is>
      </c>
    </row>
    <row r="59">
      <c r="A59" s="2" t="n">
        <v>58</v>
      </c>
      <c r="B59" s="2" t="n">
        <v>10</v>
      </c>
      <c r="C59" s="3" t="inlineStr">
        <is>
          <t>10.2 금융재산상속공제 (§22)</t>
        </is>
      </c>
      <c r="D59" s="2" t="inlineStr">
        <is>
          <t>🟡 중요</t>
        </is>
      </c>
      <c r="E59" s="3" t="inlineStr">
        <is>
          <t>[검증필요 — 포함 항목의 시행령 열거 자구와 조항 번호, 금융회사를 거치지 않은 보유 현금·대여금의 취급]</t>
        </is>
      </c>
      <c r="F59" s="3" t="inlineStr">
        <is>
          <t>시행령 §19① · 법 §22② · §22</t>
        </is>
      </c>
      <c r="G59" s="3" t="inlineStr">
        <is>
          <t>포함 항목의 시행령 열거 자구와 조항 번호, 금융회사를 거치지 않은 보유 현금·대여금의 취급. → 부분 확인: 범위 근거는 시행령 §19①으로 확정, 제외는 법 §22②(최대주주 주식·미신고 차명 금융재산). 각 호 열거 자구와 현금·대여금 취급은 미확정 — 유지. 잔여: §22의 2015.12.15. 개정 내용 / 금융채무 정의 조항 번호 / "유증등"의 법정 정의 조항.</t>
        </is>
      </c>
      <c r="H59" s="3" t="inlineStr">
        <is>
          <t>10_상속공제3_금융재산_동거주택.md L54</t>
        </is>
      </c>
      <c r="I59" s="4" t="inlineStr">
        <is>
          <t>확인중</t>
        </is>
      </c>
      <c r="J59" s="3" t="inlineStr"/>
      <c r="K59" s="3" t="inlineStr"/>
      <c r="L59" s="2" t="inlineStr"/>
      <c r="M59" s="5" t="inlineStr"/>
      <c r="N59" s="3" t="inlineStr">
        <is>
          <t>verify로 근거 일부 확보, 항목은 유지</t>
        </is>
      </c>
      <c r="O59" s="6" t="inlineStr">
        <is>
          <t>10|L0054|1</t>
        </is>
      </c>
      <c r="P59" s="6" t="inlineStr">
        <is>
          <t>확인중</t>
        </is>
      </c>
    </row>
    <row r="60">
      <c r="A60" s="7" t="n">
        <v>59</v>
      </c>
      <c r="B60" s="7" t="n">
        <v>10</v>
      </c>
      <c r="C60" s="8" t="inlineStr">
        <is>
          <t>10.3 동거주택상속공제 (§23의2)</t>
        </is>
      </c>
      <c r="D60" s="7" t="inlineStr">
        <is>
          <t>🟢 보완</t>
        </is>
      </c>
      <c r="E60" s="8" t="inlineStr">
        <is>
          <t>[검증필요: 상급심 확정 여부]</t>
        </is>
      </c>
      <c r="F60" s="8" t="inlineStr">
        <is>
          <t>2020구합72119</t>
        </is>
      </c>
      <c r="G60" s="8" t="inlineStr">
        <is>
          <t>서울행정법원 2020구합72119의 상급심 확정 여부.</t>
        </is>
      </c>
      <c r="H60" s="8" t="inlineStr">
        <is>
          <t>10_상속공제3_금융재산_동거주택.md L95</t>
        </is>
      </c>
      <c r="I60" s="4" t="inlineStr">
        <is>
          <t>미확인</t>
        </is>
      </c>
      <c r="J60" s="8" t="inlineStr"/>
      <c r="K60" s="8" t="inlineStr"/>
      <c r="L60" s="7" t="inlineStr"/>
      <c r="M60" s="9" t="inlineStr"/>
      <c r="N60" s="8" t="inlineStr"/>
      <c r="O60" s="10" t="inlineStr">
        <is>
          <t>10|L0095|1</t>
        </is>
      </c>
      <c r="P60" s="10" t="inlineStr">
        <is>
          <t>미확인</t>
        </is>
      </c>
    </row>
    <row r="61">
      <c r="A61" s="7" t="n">
        <v>60</v>
      </c>
      <c r="B61" s="7" t="n">
        <v>10</v>
      </c>
      <c r="C61" s="8" t="inlineStr">
        <is>
          <t>10.8 자주 묻는 질문</t>
        </is>
      </c>
      <c r="D61" s="7" t="inlineStr">
        <is>
          <t>🟢 보완</t>
        </is>
      </c>
      <c r="E61" s="8" t="inlineStr">
        <is>
          <t>[검증필요 — 지분 상속 시 공제액 안분에 관한 국세청 해석·예규]</t>
        </is>
      </c>
      <c r="F61" s="8" t="inlineStr">
        <is>
          <t>사전-2023-법규재산-0247 · 사전-2025-법규재산-0190</t>
        </is>
      </c>
      <c r="G61" s="8" t="inlineStr">
        <is>
          <t>동거주택 지분 상속 시 공제액 안분에 관한 국세청 해석·예규. → 부분 확인: 요건 충족 상속인의 지분상당액만 공제된다는 결론과 예규 2건(사전-2023-법규재산-0247, 사전-2025-법규재산-0190)은 확보. 단 2차 출처 경유 — 국세법령정보시스템 원문 대조 미실시. ※ 2장 L50과 동일 예규.</t>
        </is>
      </c>
      <c r="H61" s="8" t="inlineStr">
        <is>
          <t>10_상속공제3_금융재산_동거주택.md L249</t>
        </is>
      </c>
      <c r="I61" s="4" t="inlineStr">
        <is>
          <t>확인중</t>
        </is>
      </c>
      <c r="J61" s="8" t="inlineStr"/>
      <c r="K61" s="8" t="inlineStr"/>
      <c r="L61" s="7" t="inlineStr"/>
      <c r="M61" s="9" t="inlineStr"/>
      <c r="N61" s="8" t="inlineStr">
        <is>
          <t>verify로 근거 일부 확보, 항목은 유지 / ※ 2장 L50과 동일 예규</t>
        </is>
      </c>
      <c r="O61" s="10" t="inlineStr">
        <is>
          <t>10|L0249|1</t>
        </is>
      </c>
      <c r="P61" s="10" t="inlineStr">
        <is>
          <t>확인중</t>
        </is>
      </c>
    </row>
    <row r="62">
      <c r="A62" s="2" t="n">
        <v>61</v>
      </c>
      <c r="B62" s="2" t="n">
        <v>11</v>
      </c>
      <c r="C62" s="3" t="inlineStr">
        <is>
          <t>11.2 3중 요건 (법 §18의2)</t>
        </is>
      </c>
      <c r="D62" s="2" t="inlineStr">
        <is>
          <t>🟡 중요</t>
        </is>
      </c>
      <c r="E62" s="3" t="inlineStr">
        <is>
          <t>[검증필요: 시행령 §15의 사업무관자산 열거 항·호 번호, 과다보유 현금의 판정 기준 — law.go.kr 현행본 대조]</t>
        </is>
      </c>
      <c r="F62" s="3" t="inlineStr">
        <is>
          <t>시행령 §15</t>
        </is>
      </c>
      <c r="G62" s="3" t="inlineStr">
        <is>
          <t>시행령 §15의 사업무관자산 열거 항·호 번호, 과다보유 현금의 판정 기준.</t>
        </is>
      </c>
      <c r="H62" s="3" t="inlineStr">
        <is>
          <t>11_가업상속공제_영농상속공제.md L57</t>
        </is>
      </c>
      <c r="I62" s="4" t="inlineStr">
        <is>
          <t>미확인</t>
        </is>
      </c>
      <c r="J62" s="3" t="inlineStr"/>
      <c r="K62" s="3" t="inlineStr"/>
      <c r="L62" s="2" t="inlineStr"/>
      <c r="M62" s="5" t="inlineStr"/>
      <c r="N62" s="3" t="inlineStr"/>
      <c r="O62" s="6" t="inlineStr">
        <is>
          <t>11|L0057|1</t>
        </is>
      </c>
      <c r="P62" s="6" t="inlineStr">
        <is>
          <t>미확인</t>
        </is>
      </c>
    </row>
    <row r="63">
      <c r="A63" s="15" t="n">
        <v>62</v>
      </c>
      <c r="B63" s="15" t="n">
        <v>11</v>
      </c>
      <c r="C63" s="16" t="inlineStr">
        <is>
          <t>11.4 영농상속공제 (법 §18의3)</t>
        </is>
      </c>
      <c r="D63" s="15" t="inlineStr">
        <is>
          <t>🔴 최우선</t>
        </is>
      </c>
      <c r="E63" s="16" t="inlineStr">
        <is>
          <t>[검증필요: 8년·2년 조문 자구 — 2차 출처 확인 상태]</t>
        </is>
      </c>
      <c r="F63" s="16" t="inlineStr"/>
      <c r="G63" s="16" t="inlineStr">
        <is>
          <t>피상속인 8년·상속인 2년 요건의 조문 자구. 현재 2차 출처 확인 상태. 요건 연수를 틀리면 적용 여부 자체가 뒤집힘. ※ 한도 30억(2023년 20억→30억 상향)도 함께 확인.</t>
        </is>
      </c>
      <c r="H63" s="16" t="inlineStr">
        <is>
          <t>11_가업상속공제_영농상속공제.md L103</t>
        </is>
      </c>
      <c r="I63" s="4" t="inlineStr">
        <is>
          <t>미확인</t>
        </is>
      </c>
      <c r="J63" s="16" t="inlineStr"/>
      <c r="K63" s="16" t="inlineStr"/>
      <c r="L63" s="15" t="inlineStr"/>
      <c r="M63" s="17" t="inlineStr"/>
      <c r="N63" s="16" t="inlineStr">
        <is>
          <t>※ 한도 30억(2023년 20억→30억 상향)도 함께 확인</t>
        </is>
      </c>
      <c r="O63" s="18" t="inlineStr">
        <is>
          <t>11|L0103|1</t>
        </is>
      </c>
      <c r="P63" s="18" t="inlineStr">
        <is>
          <t>미확인</t>
        </is>
      </c>
    </row>
    <row r="64">
      <c r="A64" s="2" t="n">
        <v>63</v>
      </c>
      <c r="B64" s="2" t="n">
        <v>11</v>
      </c>
      <c r="C64" s="3" t="inlineStr">
        <is>
          <t>11.6 자주 묻는 질문</t>
        </is>
      </c>
      <c r="D64" s="2" t="inlineStr">
        <is>
          <t>🟡 중요</t>
        </is>
      </c>
      <c r="E64" s="3" t="inlineStr">
        <is>
          <t>[검증필요: 중분류 기준과 심의 절차의 현행 시행령 문언]</t>
        </is>
      </c>
      <c r="F64" s="3" t="inlineStr"/>
      <c r="G64" s="3" t="inlineStr">
        <is>
          <t>업종 변경 시 중분류 기준과 심의 절차의 현행 시행령 문언.</t>
        </is>
      </c>
      <c r="H64" s="3" t="inlineStr">
        <is>
          <t>11_가업상속공제_영농상속공제.md L182</t>
        </is>
      </c>
      <c r="I64" s="4" t="inlineStr">
        <is>
          <t>미확인</t>
        </is>
      </c>
      <c r="J64" s="3" t="inlineStr"/>
      <c r="K64" s="3" t="inlineStr"/>
      <c r="L64" s="2" t="inlineStr"/>
      <c r="M64" s="5" t="inlineStr"/>
      <c r="N64" s="3" t="inlineStr"/>
      <c r="O64" s="6" t="inlineStr">
        <is>
          <t>11|L0182|1</t>
        </is>
      </c>
      <c r="P64" s="6" t="inlineStr">
        <is>
          <t>미확인</t>
        </is>
      </c>
    </row>
    <row r="65">
      <c r="A65" s="2" t="n">
        <v>64</v>
      </c>
      <c r="B65" s="2" t="n">
        <v>11</v>
      </c>
      <c r="C65" s="3" t="inlineStr">
        <is>
          <t>11.6 자주 묻는 질문</t>
        </is>
      </c>
      <c r="D65" s="2" t="inlineStr">
        <is>
          <t>🟡 중요</t>
        </is>
      </c>
      <c r="E65" s="3" t="inlineStr">
        <is>
          <t>[검증필요: 공동 가업승계의 인정 요건·지분 산정 방법 — 상증세법 시행령 §15 현행본 대조]</t>
        </is>
      </c>
      <c r="F65" s="3" t="inlineStr">
        <is>
          <t>시행령 §15</t>
        </is>
      </c>
      <c r="G65" s="3" t="inlineStr">
        <is>
          <t>공동 가업승계의 인정 요건·지분 산정 방법(시행령 §15 현행본).</t>
        </is>
      </c>
      <c r="H65" s="3" t="inlineStr">
        <is>
          <t>11_가업상속공제_영농상속공제.md L185</t>
        </is>
      </c>
      <c r="I65" s="4" t="inlineStr">
        <is>
          <t>미확인</t>
        </is>
      </c>
      <c r="J65" s="3" t="inlineStr"/>
      <c r="K65" s="3" t="inlineStr"/>
      <c r="L65" s="2" t="inlineStr"/>
      <c r="M65" s="5" t="inlineStr"/>
      <c r="N65" s="3" t="inlineStr"/>
      <c r="O65" s="6" t="inlineStr">
        <is>
          <t>11|L0185|1</t>
        </is>
      </c>
      <c r="P65" s="6" t="inlineStr">
        <is>
          <t>미확인</t>
        </is>
      </c>
    </row>
    <row r="66">
      <c r="A66" s="2" t="n">
        <v>65</v>
      </c>
      <c r="B66" s="2" t="n">
        <v>11</v>
      </c>
      <c r="C66" s="3" t="inlineStr">
        <is>
          <t>11.7 개정 예고</t>
        </is>
      </c>
      <c r="D66" s="2" t="inlineStr">
        <is>
          <t>🟡 중요</t>
        </is>
      </c>
      <c r="E66" s="3" t="inlineStr">
        <is>
          <t>[검증필요: 조문별 확정 내용·경과규정·최종 시행일 — 국회 통과 후 law.go.kr 현행본 재확인]</t>
        </is>
      </c>
      <c r="F66" s="3" t="inlineStr"/>
      <c r="G66" s="3" t="inlineStr">
        <is>
          <t>2026 세제개편안의 조문별 확정 내용·경과규정·최종 시행일 — 국회 통과 후 재확인. (보도된 방향: 경영기간 요건 강화, 한도 1,000억, 사후관리 5년→10년, 적용 2027.7.1. 이후) 현행법 아님이 본문에 명시되어 있는지 확인.</t>
        </is>
      </c>
      <c r="H66" s="3" t="inlineStr">
        <is>
          <t>11_가업상속공제_영농상속공제.md L209</t>
        </is>
      </c>
      <c r="I66" s="4" t="inlineStr">
        <is>
          <t>미확인</t>
        </is>
      </c>
      <c r="J66" s="3" t="inlineStr"/>
      <c r="K66" s="3" t="inlineStr"/>
      <c r="L66" s="2" t="inlineStr"/>
      <c r="M66" s="5" t="inlineStr"/>
      <c r="N66" s="3" t="inlineStr"/>
      <c r="O66" s="6" t="inlineStr">
        <is>
          <t>11|L0209|1</t>
        </is>
      </c>
      <c r="P66" s="6" t="inlineStr">
        <is>
          <t>미확인</t>
        </is>
      </c>
    </row>
    <row r="67">
      <c r="A67" s="15" t="n">
        <v>66</v>
      </c>
      <c r="B67" s="15" t="n">
        <v>12</v>
      </c>
      <c r="C67" s="16" t="inlineStr">
        <is>
          <t>12.3 계산의 순서</t>
        </is>
      </c>
      <c r="D67" s="15" t="inlineStr">
        <is>
          <t>🔴 최우선</t>
        </is>
      </c>
      <c r="E67" s="16" t="inlineStr">
        <is>
          <t>[검증필요: 10단계 표 축자 원문]</t>
        </is>
      </c>
      <c r="F67" s="16" t="inlineStr">
        <is>
          <t>법 §30</t>
        </is>
      </c>
      <c r="G67" s="16" t="inlineStr">
        <is>
          <t>단기재상속 세액공제(법 §30) 10단계 체감표의 축자 원문. 1년 이내 100%에서 매년 10%p씩 체감하여 10년 이내 10% — 체감 구조는 복수 출처 일치하나 표 자체를 원문으로 대조.</t>
        </is>
      </c>
      <c r="H67" s="16" t="inlineStr">
        <is>
          <t>12_세율과_세액_계산.md L80</t>
        </is>
      </c>
      <c r="I67" s="4" t="inlineStr">
        <is>
          <t>미확인</t>
        </is>
      </c>
      <c r="J67" s="16" t="inlineStr"/>
      <c r="K67" s="16" t="inlineStr"/>
      <c r="L67" s="15" t="inlineStr"/>
      <c r="M67" s="17" t="inlineStr"/>
      <c r="N67" s="16" t="inlineStr"/>
      <c r="O67" s="18" t="inlineStr">
        <is>
          <t>12|L0080|1</t>
        </is>
      </c>
      <c r="P67" s="18" t="inlineStr">
        <is>
          <t>미확인</t>
        </is>
      </c>
    </row>
    <row r="68">
      <c r="A68" s="15" t="n">
        <v>67</v>
      </c>
      <c r="B68" s="15" t="n">
        <v>12</v>
      </c>
      <c r="C68" s="16" t="inlineStr">
        <is>
          <t>12.3 계산의 순서</t>
        </is>
      </c>
      <c r="D68" s="15" t="inlineStr">
        <is>
          <t>🔴 최우선</t>
        </is>
      </c>
      <c r="E68" s="16" t="inlineStr">
        <is>
          <t>[검증필요: §69① 본문의 "산출세액"이 §27 할증액을 포함한다는 점의 축자 원문 대조]</t>
        </is>
      </c>
      <c r="F68" s="16" t="inlineStr">
        <is>
          <t>§69① · §27</t>
        </is>
      </c>
      <c r="G68" s="16" t="inlineStr">
        <is>
          <t>§69① 본문의 "산출세액"이 §27 세대생략 할증액을 포함한다는 점의 축자 원문 대조. 사례 12-3·12-5의 검산 전제이며, 신고세액공제 3%의 기초를 결정한다. §69①은 "공제·감면되는 금액을 뺀 금액"의 3%라는 점도 함께 확인.</t>
        </is>
      </c>
      <c r="H68" s="16" t="inlineStr">
        <is>
          <t>12_세율과_세액_계산.md L83</t>
        </is>
      </c>
      <c r="I68" s="4" t="inlineStr">
        <is>
          <t>미확인</t>
        </is>
      </c>
      <c r="J68" s="16" t="inlineStr"/>
      <c r="K68" s="16" t="inlineStr"/>
      <c r="L68" s="15" t="inlineStr"/>
      <c r="M68" s="17" t="inlineStr"/>
      <c r="N68" s="16" t="inlineStr"/>
      <c r="O68" s="18" t="inlineStr">
        <is>
          <t>12|L0083|1</t>
        </is>
      </c>
      <c r="P68" s="18" t="inlineStr">
        <is>
          <t>미확인</t>
        </is>
      </c>
    </row>
    <row r="69">
      <c r="A69" s="15" t="n">
        <v>68</v>
      </c>
      <c r="B69" s="15" t="n">
        <v>13</v>
      </c>
      <c r="C69" s="16" t="inlineStr">
        <is>
          <t>13.2 거주자 판정</t>
        </is>
      </c>
      <c r="D69" s="15" t="inlineStr">
        <is>
          <t>🔴 최우선</t>
        </is>
      </c>
      <c r="E69" s="16" t="inlineStr">
        <is>
          <t>[검증필요: 거소기간 계산의 산입 방식·일시 출국 처리 조문 — 소득세법 시행령 원문 대조]</t>
        </is>
      </c>
      <c r="F69" s="16" t="inlineStr"/>
      <c r="G69" s="16" t="inlineStr">
        <is>
          <t>거소기간 계산의 산입 방식·일시 출국 처리 조문(소득세법 시행령 원문). 183일 판정이 과세 범위 전체를 가른다. ※ 4장 L98과 연동.</t>
        </is>
      </c>
      <c r="H69" s="16" t="inlineStr">
        <is>
          <t>13_비거주자와_국제상속.md L50</t>
        </is>
      </c>
      <c r="I69" s="4" t="inlineStr">
        <is>
          <t>미확인</t>
        </is>
      </c>
      <c r="J69" s="16" t="inlineStr"/>
      <c r="K69" s="16" t="inlineStr"/>
      <c r="L69" s="15" t="inlineStr"/>
      <c r="M69" s="17" t="inlineStr"/>
      <c r="N69" s="16" t="inlineStr">
        <is>
          <t>※ 4장 L98과 연동</t>
        </is>
      </c>
      <c r="O69" s="18" t="inlineStr">
        <is>
          <t>13|L0050|1</t>
        </is>
      </c>
      <c r="P69" s="18" t="inlineStr">
        <is>
          <t>미확인</t>
        </is>
      </c>
    </row>
    <row r="70">
      <c r="A70" s="2" t="n">
        <v>69</v>
      </c>
      <c r="B70" s="2" t="n">
        <v>13</v>
      </c>
      <c r="C70" s="3" t="inlineStr">
        <is>
          <t>13.2 거주자 판정</t>
        </is>
      </c>
      <c r="D70" s="2" t="inlineStr">
        <is>
          <t>🟡 중요</t>
        </is>
      </c>
      <c r="E70" s="3" t="inlineStr">
        <is>
          <t>[검증필요: 한·미 조세조약의 거주자 판정 조항 번호와 축자 순서 — 조약 원문 대조]</t>
        </is>
      </c>
      <c r="F70" s="3" t="inlineStr"/>
      <c r="G70" s="3" t="inlineStr">
        <is>
          <t>한·미 조세조약의 거주자 판정(tie-breaker) 조항 번호와 축자 순서 — 조약 원문 대조. 원고는 ①항구적 주거 ②중대한 이해관계의 중심지 ③일상적 거소 ④국적 ⑤상호합의 순으로 서술.</t>
        </is>
      </c>
      <c r="H70" s="3" t="inlineStr">
        <is>
          <t>13_비거주자와_국제상속.md L52</t>
        </is>
      </c>
      <c r="I70" s="4" t="inlineStr">
        <is>
          <t>미확인</t>
        </is>
      </c>
      <c r="J70" s="3" t="inlineStr"/>
      <c r="K70" s="3" t="inlineStr"/>
      <c r="L70" s="2" t="inlineStr"/>
      <c r="M70" s="5" t="inlineStr"/>
      <c r="N70" s="3" t="inlineStr"/>
      <c r="O70" s="6" t="inlineStr">
        <is>
          <t>13|L0052|1</t>
        </is>
      </c>
      <c r="P70" s="6" t="inlineStr">
        <is>
          <t>미확인</t>
        </is>
      </c>
    </row>
    <row r="71">
      <c r="A71" s="15" t="n">
        <v>70</v>
      </c>
      <c r="B71" s="15" t="n">
        <v>13</v>
      </c>
      <c r="C71" s="16" t="inlineStr">
        <is>
          <t>13.3 법령 근거</t>
        </is>
      </c>
      <c r="D71" s="15" t="inlineStr">
        <is>
          <t>🔴 최우선</t>
        </is>
      </c>
      <c r="E71" s="16" t="inlineStr">
        <is>
          <t>[검증필요: §53 증여재산공제의 "거주자" 요건 유무 — 원문 대조]</t>
        </is>
      </c>
      <c r="F71" s="16" t="inlineStr">
        <is>
          <t>§53</t>
        </is>
      </c>
      <c r="G71" s="16" t="inlineStr">
        <is>
          <t>§53 증여재산공제의 "거주자" 요건 유무. 비거주자 수증자에게 공제가 열리는지 여부는 세액을 직접 결정. ※ 15장과 연동.</t>
        </is>
      </c>
      <c r="H71" s="16" t="inlineStr">
        <is>
          <t>13_비거주자와_국제상속.md L71</t>
        </is>
      </c>
      <c r="I71" s="4" t="inlineStr">
        <is>
          <t>미확인</t>
        </is>
      </c>
      <c r="J71" s="16" t="inlineStr"/>
      <c r="K71" s="16" t="inlineStr"/>
      <c r="L71" s="15" t="inlineStr"/>
      <c r="M71" s="17" t="inlineStr"/>
      <c r="N71" s="16" t="inlineStr">
        <is>
          <t>※ 15장과 연동</t>
        </is>
      </c>
      <c r="O71" s="18" t="inlineStr">
        <is>
          <t>13|L0071|1</t>
        </is>
      </c>
      <c r="P71" s="18" t="inlineStr">
        <is>
          <t>미확인</t>
        </is>
      </c>
    </row>
    <row r="72">
      <c r="A72" s="2" t="n">
        <v>71</v>
      </c>
      <c r="B72" s="2" t="n">
        <v>13</v>
      </c>
      <c r="C72" s="3" t="inlineStr">
        <is>
          <t>13.3 법령 근거</t>
        </is>
      </c>
      <c r="D72" s="2" t="inlineStr">
        <is>
          <t>🟡 중요</t>
        </is>
      </c>
      <c r="E72" s="3" t="inlineStr">
        <is>
          <t>[검증필요: 법문 자구의 주어 범위("상속인 전원" 여부) — 원문 대조]</t>
        </is>
      </c>
      <c r="F72" s="3" t="inlineStr">
        <is>
          <t>§67④</t>
        </is>
      </c>
      <c r="G72" s="3" t="inlineStr">
        <is>
          <t>§67④ 법문 자구의 주어 범위 — "피상속인이나 상속인이 외국에 주소를 둔 경우"에서 상속인 전원인지 일부인지. 9개월/6개월을 가른다.</t>
        </is>
      </c>
      <c r="H72" s="3" t="inlineStr">
        <is>
          <t>13_비거주자와_국제상속.md L73</t>
        </is>
      </c>
      <c r="I72" s="4" t="inlineStr">
        <is>
          <t>미확인</t>
        </is>
      </c>
      <c r="J72" s="3" t="inlineStr"/>
      <c r="K72" s="3" t="inlineStr"/>
      <c r="L72" s="2" t="inlineStr"/>
      <c r="M72" s="5" t="inlineStr"/>
      <c r="N72" s="3" t="inlineStr"/>
      <c r="O72" s="6" t="inlineStr">
        <is>
          <t>13|L0073|1</t>
        </is>
      </c>
      <c r="P72" s="6" t="inlineStr">
        <is>
          <t>미확인</t>
        </is>
      </c>
    </row>
    <row r="73">
      <c r="A73" s="2" t="n">
        <v>72</v>
      </c>
      <c r="B73" s="2" t="n">
        <v>13</v>
      </c>
      <c r="C73" s="3" t="inlineStr">
        <is>
          <t>13.3 법령 근거</t>
        </is>
      </c>
      <c r="D73" s="2" t="inlineStr">
        <is>
          <t>🟡 중요</t>
        </is>
      </c>
      <c r="E73" s="3" t="inlineStr">
        <is>
          <t>[검증필요: 비거주자 사망 시 과세관할 규정의 조문·항 번호 — 원문 대조]</t>
        </is>
      </c>
      <c r="F73" s="3" t="inlineStr"/>
      <c r="G73" s="3" t="inlineStr">
        <is>
          <t>비거주자 사망 시 과세관할 규정의 조문·항 번호.</t>
        </is>
      </c>
      <c r="H73" s="3" t="inlineStr">
        <is>
          <t>13_비거주자와_국제상속.md L75</t>
        </is>
      </c>
      <c r="I73" s="4" t="inlineStr">
        <is>
          <t>미확인</t>
        </is>
      </c>
      <c r="J73" s="3" t="inlineStr"/>
      <c r="K73" s="3" t="inlineStr"/>
      <c r="L73" s="2" t="inlineStr"/>
      <c r="M73" s="5" t="inlineStr"/>
      <c r="N73" s="3" t="inlineStr"/>
      <c r="O73" s="6" t="inlineStr">
        <is>
          <t>13|L0075|1</t>
        </is>
      </c>
      <c r="P73" s="6" t="inlineStr">
        <is>
          <t>미확인</t>
        </is>
      </c>
    </row>
    <row r="74">
      <c r="A74" s="7" t="n">
        <v>73</v>
      </c>
      <c r="B74" s="7" t="n">
        <v>13</v>
      </c>
      <c r="C74" s="8" t="inlineStr">
        <is>
          <t>13.3 법령 근거</t>
        </is>
      </c>
      <c r="D74" s="7" t="inlineStr">
        <is>
          <t>🟢 보완</t>
        </is>
      </c>
      <c r="E74" s="8" t="inlineStr">
        <is>
          <t>[검증필요: 한국의 상속세 조약 체결국 전수 — 한미 간 부존재만 확정]</t>
        </is>
      </c>
      <c r="F74" s="8" t="inlineStr"/>
      <c r="G74" s="8" t="inlineStr">
        <is>
          <t>한국의 상속세 조약 체결국 전수. 한미 간 부존재만 확정. 전수를 확정하지 못하면 "미국과는 없다"까지만 쓰고 다른 나라로 일반화하지 말 것.</t>
        </is>
      </c>
      <c r="H74" s="8" t="inlineStr">
        <is>
          <t>13_비거주자와_국제상속.md L87</t>
        </is>
      </c>
      <c r="I74" s="4" t="inlineStr">
        <is>
          <t>미확인</t>
        </is>
      </c>
      <c r="J74" s="8" t="inlineStr"/>
      <c r="K74" s="8" t="inlineStr"/>
      <c r="L74" s="7" t="inlineStr"/>
      <c r="M74" s="9" t="inlineStr"/>
      <c r="N74" s="8" t="inlineStr"/>
      <c r="O74" s="10" t="inlineStr">
        <is>
          <t>13|L0087|1</t>
        </is>
      </c>
      <c r="P74" s="10" t="inlineStr">
        <is>
          <t>미확인</t>
        </is>
      </c>
    </row>
    <row r="75">
      <c r="A75" s="7" t="n">
        <v>74</v>
      </c>
      <c r="B75" s="7" t="n">
        <v>13</v>
      </c>
      <c r="C75" s="8" t="inlineStr">
        <is>
          <t>13.3 법령 근거</t>
        </is>
      </c>
      <c r="D75" s="7" t="inlineStr">
        <is>
          <t>🟢 보완</t>
        </is>
      </c>
      <c r="E75" s="8" t="inlineStr">
        <is>
          <t>[검증필요: 미국 유산세의 통합공제액·비거주 외국인 면제액 — 현지 자격사 확인 사항]</t>
        </is>
      </c>
      <c r="F75" s="8" t="inlineStr"/>
      <c r="G75" s="8" t="inlineStr">
        <is>
          <t>미국 유산세의 통합공제액·비거주 외국인 면제액. 현지 자격사 확인 사항 — 원고는 구체 수치를 인용하지 않는 방침. 이 방침이 유지되는지만 확인(수치가 새로 들어갔으면 삭제).</t>
        </is>
      </c>
      <c r="H75" s="8" t="inlineStr">
        <is>
          <t>13_비거주자와_국제상속.md L89</t>
        </is>
      </c>
      <c r="I75" s="4" t="inlineStr">
        <is>
          <t>미확인</t>
        </is>
      </c>
      <c r="J75" s="8" t="inlineStr"/>
      <c r="K75" s="8" t="inlineStr"/>
      <c r="L75" s="7" t="inlineStr"/>
      <c r="M75" s="9" t="inlineStr"/>
      <c r="N75" s="8" t="inlineStr"/>
      <c r="O75" s="10" t="inlineStr">
        <is>
          <t>13|L0089|1</t>
        </is>
      </c>
      <c r="P75" s="10" t="inlineStr">
        <is>
          <t>미확인</t>
        </is>
      </c>
    </row>
    <row r="76">
      <c r="A76" s="15" t="n">
        <v>75</v>
      </c>
      <c r="B76" s="15" t="n">
        <v>13</v>
      </c>
      <c r="C76" s="16" t="inlineStr">
        <is>
          <t>13.3 법령 근거</t>
        </is>
      </c>
      <c r="D76" s="15" t="inlineStr">
        <is>
          <t>🔴 최우선</t>
        </is>
      </c>
      <c r="E76" s="16" t="inlineStr">
        <is>
          <t>[검증필요: 미신고 과태료율 구간·형사처벌 및 명단공개 기준금액 — 국조법 원문 대조]</t>
        </is>
      </c>
      <c r="F76" s="16" t="inlineStr"/>
      <c r="G76" s="16" t="inlineStr">
        <is>
          <t>해외금융계좌 미신고 과태료율 구간·형사처벌 및 명단공개 기준금액(국제조세조정법 원문). 신고 기준 5억원 초과와 함께 확인.</t>
        </is>
      </c>
      <c r="H76" s="16" t="inlineStr">
        <is>
          <t>13_비거주자와_국제상속.md L91</t>
        </is>
      </c>
      <c r="I76" s="4" t="inlineStr">
        <is>
          <t>미확인</t>
        </is>
      </c>
      <c r="J76" s="16" t="inlineStr"/>
      <c r="K76" s="16" t="inlineStr"/>
      <c r="L76" s="15" t="inlineStr"/>
      <c r="M76" s="17" t="inlineStr"/>
      <c r="N76" s="16" t="inlineStr"/>
      <c r="O76" s="18" t="inlineStr">
        <is>
          <t>13|L0091|1</t>
        </is>
      </c>
      <c r="P76" s="18" t="inlineStr">
        <is>
          <t>미확인</t>
        </is>
      </c>
    </row>
    <row r="77">
      <c r="A77" s="15" t="n">
        <v>76</v>
      </c>
      <c r="B77" s="15" t="n">
        <v>13</v>
      </c>
      <c r="C77" s="16" t="inlineStr">
        <is>
          <t>13.3 법령 근거</t>
        </is>
      </c>
      <c r="D77" s="15" t="inlineStr">
        <is>
          <t>🔴 최우선</t>
        </is>
      </c>
      <c r="E77" s="16" t="inlineStr">
        <is>
          <t>[검증필요: 국외전출세의 대상자 요건·세율·신고납부 시기 — 소득세법 원문 대조]</t>
        </is>
      </c>
      <c r="F77" s="16" t="inlineStr"/>
      <c r="G77" s="16" t="inlineStr">
        <is>
          <t>국외전출세의 대상자 요건·세율·신고납부 시기(소득세법 원문).</t>
        </is>
      </c>
      <c r="H77" s="16" t="inlineStr">
        <is>
          <t>13_비거주자와_국제상속.md L95</t>
        </is>
      </c>
      <c r="I77" s="4" t="inlineStr">
        <is>
          <t>미확인</t>
        </is>
      </c>
      <c r="J77" s="16" t="inlineStr"/>
      <c r="K77" s="16" t="inlineStr"/>
      <c r="L77" s="15" t="inlineStr"/>
      <c r="M77" s="17" t="inlineStr"/>
      <c r="N77" s="16" t="inlineStr"/>
      <c r="O77" s="18" t="inlineStr">
        <is>
          <t>13|L0095|1</t>
        </is>
      </c>
      <c r="P77" s="18" t="inlineStr">
        <is>
          <t>미확인</t>
        </is>
      </c>
    </row>
    <row r="78">
      <c r="A78" s="2" t="n">
        <v>77</v>
      </c>
      <c r="B78" s="2" t="n">
        <v>13</v>
      </c>
      <c r="C78" s="3" t="inlineStr">
        <is>
          <t>13.4 실무 절차</t>
        </is>
      </c>
      <c r="D78" s="2" t="inlineStr">
        <is>
          <t>🟡 중요</t>
        </is>
      </c>
      <c r="E78" s="3" t="inlineStr">
        <is>
          <t>[검증필요: 외국납부세액 확정 지연 시의 경정청구 근거·기간]</t>
        </is>
      </c>
      <c r="F78" s="3" t="inlineStr">
        <is>
          <t>§29</t>
        </is>
      </c>
      <c r="G78" s="3" t="inlineStr">
        <is>
          <t>외국납부세액(§29) 확정 지연 시의 경정청구 근거·기간. 신고기한 9개월 내 현지 절차가 끝나지 않는 실무 국면의 해법이므로 근거를 특정할 것.</t>
        </is>
      </c>
      <c r="H78" s="3" t="inlineStr">
        <is>
          <t>13_비거주자와_국제상속.md L115</t>
        </is>
      </c>
      <c r="I78" s="4" t="inlineStr">
        <is>
          <t>미확인</t>
        </is>
      </c>
      <c r="J78" s="3" t="inlineStr"/>
      <c r="K78" s="3" t="inlineStr"/>
      <c r="L78" s="2" t="inlineStr"/>
      <c r="M78" s="5" t="inlineStr"/>
      <c r="N78" s="3" t="inlineStr"/>
      <c r="O78" s="6" t="inlineStr">
        <is>
          <t>13|L0115|1</t>
        </is>
      </c>
      <c r="P78" s="6" t="inlineStr">
        <is>
          <t>미확인</t>
        </is>
      </c>
    </row>
    <row r="79">
      <c r="A79" s="2" t="n">
        <v>78</v>
      </c>
      <c r="B79" s="2" t="n">
        <v>14</v>
      </c>
      <c r="C79" s="3" t="inlineStr">
        <is>
          <t>14.2 누가, 어디까지 내는가 (법 §4의2)</t>
        </is>
      </c>
      <c r="D79" s="2" t="inlineStr">
        <is>
          <t>🟡 중요</t>
        </is>
      </c>
      <c r="E79" s="3" t="inlineStr">
        <is>
          <t>[검증필요: 국조법 §35 각 항·호 축자 문구 — law.go.kr 원문 대조 필요]</t>
        </is>
      </c>
      <c r="F79" s="3" t="inlineStr">
        <is>
          <t>국조법 §35</t>
        </is>
      </c>
      <c r="G79" s="3" t="inlineStr">
        <is>
          <t>국조법 §35 각 항·호 축자 문구 — law.go.kr 원문 대조. (거주자가 비거주자에게 국외 재산 증여 시 증여자 납세의무, 면제 요건 2가지)</t>
        </is>
      </c>
      <c r="H79" s="3" t="inlineStr">
        <is>
          <t>14_증여세_과세대상과_납세의무자.md L32</t>
        </is>
      </c>
      <c r="I79" s="4" t="inlineStr">
        <is>
          <t>미확인</t>
        </is>
      </c>
      <c r="J79" s="3" t="inlineStr"/>
      <c r="K79" s="3" t="inlineStr"/>
      <c r="L79" s="2" t="inlineStr"/>
      <c r="M79" s="5" t="inlineStr"/>
      <c r="N79" s="3" t="inlineStr"/>
      <c r="O79" s="6" t="inlineStr">
        <is>
          <t>14|L0032|1</t>
        </is>
      </c>
      <c r="P79" s="6" t="inlineStr">
        <is>
          <t>미확인</t>
        </is>
      </c>
    </row>
    <row r="80">
      <c r="A80" s="7" t="n">
        <v>79</v>
      </c>
      <c r="B80" s="7" t="n">
        <v>14</v>
      </c>
      <c r="C80" s="8" t="inlineStr">
        <is>
          <t>14.5 자주 묻는 질문</t>
        </is>
      </c>
      <c r="D80" s="7" t="inlineStr">
        <is>
          <t>🟢 보완</t>
        </is>
      </c>
      <c r="E80" s="8" t="inlineStr">
        <is>
          <t>[검증필요: 위자료의 증여세·양도소득세 취급 — 판례·예규 원문 대조]</t>
        </is>
      </c>
      <c r="F80" s="8" t="inlineStr">
        <is>
          <t>대법원 1998.2.13.</t>
        </is>
      </c>
      <c r="G80" s="8" t="inlineStr">
        <is>
          <t>위자료의 증여세·양도소득세 취급 — 판례·예규 원문 대조. 재산분할은 대법원 1998.2.13. 96누14401로 확인됨(법제처 「찾기쉬운 생활법령정보」). ※ 27장과 연동.</t>
        </is>
      </c>
      <c r="H80" s="8" t="inlineStr">
        <is>
          <t>14_증여세_과세대상과_납세의무자.md L107</t>
        </is>
      </c>
      <c r="I80" s="4" t="inlineStr">
        <is>
          <t>미확인</t>
        </is>
      </c>
      <c r="J80" s="8" t="inlineStr"/>
      <c r="K80" s="8" t="inlineStr"/>
      <c r="L80" s="7" t="inlineStr"/>
      <c r="M80" s="9" t="inlineStr"/>
      <c r="N80" s="8" t="inlineStr">
        <is>
          <t>※ 27장과 연동</t>
        </is>
      </c>
      <c r="O80" s="10" t="inlineStr">
        <is>
          <t>14|L0107|1</t>
        </is>
      </c>
      <c r="P80" s="10" t="inlineStr">
        <is>
          <t>미확인</t>
        </is>
      </c>
    </row>
    <row r="81">
      <c r="A81" s="2" t="n">
        <v>80</v>
      </c>
      <c r="B81" s="2" t="n">
        <v>14</v>
      </c>
      <c r="C81" s="3" t="inlineStr">
        <is>
          <t>14.5 자주 묻는 질문</t>
        </is>
      </c>
      <c r="D81" s="2" t="inlineStr">
        <is>
          <t>🟡 중요</t>
        </is>
      </c>
      <c r="E81" s="3" t="inlineStr">
        <is>
          <t>[검증필요: 시행령 §35 항·호 구조와 "해당 용도에 직접 지출" 문구 축자, 혼수·축의금 귀속 관련 국세청 집행기준 원문]</t>
        </is>
      </c>
      <c r="F81" s="3" t="inlineStr">
        <is>
          <t>시행령 §35</t>
        </is>
      </c>
      <c r="G81" s="3" t="inlineStr">
        <is>
          <t>시행령 §35의 항·호 구조와 "해당 용도에 직접 지출" 문구 축자, 혼수·축의금 귀속 관련 국세청 집행기준 원문.</t>
        </is>
      </c>
      <c r="H81" s="3" t="inlineStr">
        <is>
          <t>14_증여세_과세대상과_납세의무자.md L113</t>
        </is>
      </c>
      <c r="I81" s="4" t="inlineStr">
        <is>
          <t>미확인</t>
        </is>
      </c>
      <c r="J81" s="3" t="inlineStr"/>
      <c r="K81" s="3" t="inlineStr"/>
      <c r="L81" s="2" t="inlineStr"/>
      <c r="M81" s="5" t="inlineStr"/>
      <c r="N81" s="3" t="inlineStr"/>
      <c r="O81" s="6" t="inlineStr">
        <is>
          <t>14|L0113|1</t>
        </is>
      </c>
      <c r="P81" s="6" t="inlineStr">
        <is>
          <t>미확인</t>
        </is>
      </c>
    </row>
    <row r="82">
      <c r="A82" s="2" t="n">
        <v>81</v>
      </c>
      <c r="B82" s="2" t="n">
        <v>15</v>
      </c>
      <c r="C82" s="3" t="inlineStr">
        <is>
          <t>15.2 두 개의 10년 (법 §53·§47②)</t>
        </is>
      </c>
      <c r="D82" s="2" t="inlineStr">
        <is>
          <t>🟡 중요</t>
        </is>
      </c>
      <c r="E82" s="3" t="inlineStr">
        <is>
          <t>[검증필요: 조문 항번호, 시행령이 열거한 "부득이한 사유"의 구체 항목, 특례가 금전에도 적용되는지]</t>
        </is>
      </c>
      <c r="F82" s="3" t="inlineStr"/>
      <c r="G82" s="3" t="inlineStr">
        <is>
          <t>혼인·출산 증여공제 반환 특례의 조문 항번호, 시행령이 열거한 "부득이한 사유"의 구체 항목, 특례가 금전에도 적용되는지. ※ L176과 동일 쟁점 — 함께 처리. 일반 반환 규정은 금전을 제외하므로 현금 결혼자금이 가장 위험하다는 원고의 결론이 여기 걸려 있다.</t>
        </is>
      </c>
      <c r="H82" s="3" t="inlineStr">
        <is>
          <t>15_증여재산공제.md L70</t>
        </is>
      </c>
      <c r="I82" s="4" t="inlineStr">
        <is>
          <t>미확인</t>
        </is>
      </c>
      <c r="J82" s="3" t="inlineStr"/>
      <c r="K82" s="3" t="inlineStr"/>
      <c r="L82" s="2" t="inlineStr"/>
      <c r="M82" s="5" t="inlineStr"/>
      <c r="N82" s="3" t="inlineStr">
        <is>
          <t>※ L176과 동일 쟁점 — 함께 처리. 일반 반환 규정은 금전을 제외하므로 현금 결혼자금이 가장 위험하다는 원고의 결론이 여기 걸려 있다</t>
        </is>
      </c>
      <c r="O82" s="6" t="inlineStr">
        <is>
          <t>15|L0070|1</t>
        </is>
      </c>
      <c r="P82" s="6" t="inlineStr">
        <is>
          <t>미확인</t>
        </is>
      </c>
    </row>
    <row r="83">
      <c r="A83" s="2" t="n">
        <v>82</v>
      </c>
      <c r="B83" s="2" t="n">
        <v>15</v>
      </c>
      <c r="C83" s="3" t="inlineStr">
        <is>
          <t>15.2 두 개의 10년</t>
        </is>
      </c>
      <c r="D83" s="2" t="inlineStr">
        <is>
          <t>🟡 중요</t>
        </is>
      </c>
      <c r="E83" s="3" t="inlineStr">
        <is>
          <t>[검증필요: 근거 시행령 조문·항번호]</t>
        </is>
      </c>
      <c r="F83" s="3" t="inlineStr"/>
      <c r="G83" s="3" t="inlineStr">
        <is>
          <t>순차 공제·동시 증여 시 안분 공제의 근거 시행령 조문·항번호. 현재 국세청 안내 기준. ※ 구 체크리스트의 "령§26 항번호 배치"가 여기로 통합됨.</t>
        </is>
      </c>
      <c r="H83" s="3" t="inlineStr">
        <is>
          <t>15_증여재산공제.md L75</t>
        </is>
      </c>
      <c r="I83" s="4" t="inlineStr">
        <is>
          <t>미확인</t>
        </is>
      </c>
      <c r="J83" s="3" t="inlineStr"/>
      <c r="K83" s="3" t="inlineStr"/>
      <c r="L83" s="2" t="inlineStr"/>
      <c r="M83" s="5" t="inlineStr"/>
      <c r="N83" s="3" t="inlineStr">
        <is>
          <t>※ 구 체크리스트의 "령§26 항번호 배치"가 여기로 통합됨</t>
        </is>
      </c>
      <c r="O83" s="6" t="inlineStr">
        <is>
          <t>15|L0075|1</t>
        </is>
      </c>
      <c r="P83" s="6" t="inlineStr">
        <is>
          <t>미확인</t>
        </is>
      </c>
    </row>
    <row r="84">
      <c r="A84" s="2" t="n">
        <v>83</v>
      </c>
      <c r="B84" s="2" t="n">
        <v>15</v>
      </c>
      <c r="C84" s="3" t="inlineStr">
        <is>
          <t>15.2 두 개의 10년</t>
        </is>
      </c>
      <c r="D84" s="2" t="inlineStr">
        <is>
          <t>🟡 중요</t>
        </is>
      </c>
      <c r="E84" s="3" t="inlineStr">
        <is>
          <t>[검증필요: 증여세 세대생략 할증의 조문번호]</t>
        </is>
      </c>
      <c r="F84" s="3" t="inlineStr">
        <is>
          <t>§27</t>
        </is>
      </c>
      <c r="G84" s="3" t="inlineStr">
        <is>
          <t>증여세 세대생략 할증의 조문번호(상속세 §27에 대응하는 증여세 조항). 30%·미성년자 20억 초과 40%·최근친 직계비속 예외.</t>
        </is>
      </c>
      <c r="H84" s="3" t="inlineStr">
        <is>
          <t>15_증여재산공제.md L78</t>
        </is>
      </c>
      <c r="I84" s="4" t="inlineStr">
        <is>
          <t>미확인</t>
        </is>
      </c>
      <c r="J84" s="3" t="inlineStr"/>
      <c r="K84" s="3" t="inlineStr"/>
      <c r="L84" s="2" t="inlineStr"/>
      <c r="M84" s="5" t="inlineStr"/>
      <c r="N84" s="3" t="inlineStr"/>
      <c r="O84" s="6" t="inlineStr">
        <is>
          <t>15|L0078|1</t>
        </is>
      </c>
      <c r="P84" s="6" t="inlineStr">
        <is>
          <t>미확인</t>
        </is>
      </c>
    </row>
    <row r="85">
      <c r="A85" s="7" t="n">
        <v>84</v>
      </c>
      <c r="B85" s="7" t="n">
        <v>15</v>
      </c>
      <c r="C85" s="8" t="inlineStr">
        <is>
          <t>15.5 자주 묻는 질문</t>
        </is>
      </c>
      <c r="D85" s="7" t="inlineStr">
        <is>
          <t>🟢 보완</t>
        </is>
      </c>
      <c r="E85" s="8" t="inlineStr">
        <is>
          <t>[검증필요: 근거 예규의 문서번호 특정]</t>
        </is>
      </c>
      <c r="F85" s="8" t="inlineStr"/>
      <c r="G85" s="8" t="inlineStr">
        <is>
          <t>계부·계모 관련 근거 예규의 문서번호 특정(친아버지 사망 후 재혼하지 않은 계모 = 기타친족 1,000만원이라는 실무 해석).</t>
        </is>
      </c>
      <c r="H85" s="8" t="inlineStr">
        <is>
          <t>15_증여재산공제.md L173</t>
        </is>
      </c>
      <c r="I85" s="4" t="inlineStr">
        <is>
          <t>미확인</t>
        </is>
      </c>
      <c r="J85" s="8" t="inlineStr"/>
      <c r="K85" s="8" t="inlineStr"/>
      <c r="L85" s="7" t="inlineStr"/>
      <c r="M85" s="9" t="inlineStr"/>
      <c r="N85" s="8" t="inlineStr"/>
      <c r="O85" s="10" t="inlineStr">
        <is>
          <t>15|L0173|1</t>
        </is>
      </c>
      <c r="P85" s="10" t="inlineStr">
        <is>
          <t>미확인</t>
        </is>
      </c>
    </row>
    <row r="86">
      <c r="A86" s="2" t="n">
        <v>85</v>
      </c>
      <c r="B86" s="2" t="n">
        <v>15</v>
      </c>
      <c r="C86" s="3" t="inlineStr">
        <is>
          <t>15.5 자주 묻는 질문</t>
        </is>
      </c>
      <c r="D86" s="2" t="inlineStr">
        <is>
          <t>🟡 중요</t>
        </is>
      </c>
      <c r="E86" s="3" t="inlineStr">
        <is>
          <t>[검증필요: 시행령의 "부득이한 사유" 열거 항목]</t>
        </is>
      </c>
      <c r="F86" s="3" t="inlineStr"/>
      <c r="G86" s="3" t="inlineStr">
        <is>
          <t>시행령의 "부득이한 사유" 열거 항목 — 단순 변심·파혼이 포함되는지. ※ L70과 동일 쟁점.</t>
        </is>
      </c>
      <c r="H86" s="3" t="inlineStr">
        <is>
          <t>15_증여재산공제.md L176</t>
        </is>
      </c>
      <c r="I86" s="4" t="inlineStr">
        <is>
          <t>미확인</t>
        </is>
      </c>
      <c r="J86" s="3" t="inlineStr"/>
      <c r="K86" s="3" t="inlineStr"/>
      <c r="L86" s="2" t="inlineStr"/>
      <c r="M86" s="5" t="inlineStr"/>
      <c r="N86" s="3" t="inlineStr">
        <is>
          <t>※ L70과 동일 쟁점</t>
        </is>
      </c>
      <c r="O86" s="6" t="inlineStr">
        <is>
          <t>15|L0176|1</t>
        </is>
      </c>
      <c r="P86" s="6" t="inlineStr">
        <is>
          <t>미확인</t>
        </is>
      </c>
    </row>
    <row r="87">
      <c r="A87" s="7" t="n">
        <v>86</v>
      </c>
      <c r="B87" s="7" t="n">
        <v>16</v>
      </c>
      <c r="C87" s="8" t="inlineStr">
        <is>
          <t>16.2 유형별 요건과 산식</t>
        </is>
      </c>
      <c r="D87" s="7" t="inlineStr">
        <is>
          <t>🟢 보완</t>
        </is>
      </c>
      <c r="E87" s="8" t="inlineStr">
        <is>
          <t>[검증필요 — 인정 사례]</t>
        </is>
      </c>
      <c r="F87" s="8" t="inlineStr"/>
      <c r="G87" s="8" t="inlineStr">
        <is>
          <t>저가·고가 양도의 '정당한 사유'(급매·소송 등) 인정 사례. 비특수관계인 간에만 따진다는 점은 원고에 정리됨.</t>
        </is>
      </c>
      <c r="H87" s="8" t="inlineStr">
        <is>
          <t>16_유형별_증여.md L26</t>
        </is>
      </c>
      <c r="I87" s="4" t="inlineStr">
        <is>
          <t>미확인</t>
        </is>
      </c>
      <c r="J87" s="8" t="inlineStr"/>
      <c r="K87" s="8" t="inlineStr"/>
      <c r="L87" s="7" t="inlineStr"/>
      <c r="M87" s="9" t="inlineStr"/>
      <c r="N87" s="8" t="inlineStr"/>
      <c r="O87" s="10" t="inlineStr">
        <is>
          <t>16|L0026|1</t>
        </is>
      </c>
      <c r="P87" s="10" t="inlineStr">
        <is>
          <t>미확인</t>
        </is>
      </c>
    </row>
    <row r="88">
      <c r="A88" s="15" t="n">
        <v>87</v>
      </c>
      <c r="B88" s="15" t="n">
        <v>16</v>
      </c>
      <c r="C88" s="16" t="inlineStr">
        <is>
          <t>16.2 유형별 요건과 산식</t>
        </is>
      </c>
      <c r="D88" s="15" t="inlineStr">
        <is>
          <t>🔴 최우선</t>
        </is>
      </c>
      <c r="E88" s="16" t="inlineStr">
        <is>
          <t>[검증필요 — 령§27의 2%·현가계수 근거 항번호]</t>
        </is>
      </c>
      <c r="F88" s="16" t="inlineStr">
        <is>
          <t>시행령 §27</t>
        </is>
      </c>
      <c r="G88" s="16" t="inlineStr">
        <is>
          <t>시행령 §27의 2%(적정이자율 성격)·현가계수 근거 항번호. 5년 현가계수 3.79079 → 가액의 약 7.58%가 개시 시점에 일시 증여재산가액이 된다는 계산의 뿌리.</t>
        </is>
      </c>
      <c r="H88" s="16" t="inlineStr">
        <is>
          <t>16_유형별_증여.md L34</t>
        </is>
      </c>
      <c r="I88" s="4" t="inlineStr">
        <is>
          <t>미확인</t>
        </is>
      </c>
      <c r="J88" s="16" t="inlineStr"/>
      <c r="K88" s="16" t="inlineStr"/>
      <c r="L88" s="15" t="inlineStr"/>
      <c r="M88" s="17" t="inlineStr"/>
      <c r="N88" s="16" t="inlineStr"/>
      <c r="O88" s="18" t="inlineStr">
        <is>
          <t>16|L0034|1</t>
        </is>
      </c>
      <c r="P88" s="18" t="inlineStr">
        <is>
          <t>미확인</t>
        </is>
      </c>
    </row>
    <row r="89">
      <c r="A89" s="15" t="n">
        <v>88</v>
      </c>
      <c r="B89" s="15" t="n">
        <v>16</v>
      </c>
      <c r="C89" s="16" t="inlineStr">
        <is>
          <t>16.3 실무 절차</t>
        </is>
      </c>
      <c r="D89" s="15" t="inlineStr">
        <is>
          <t>🔴 최우선</t>
        </is>
      </c>
      <c r="E89" s="16" t="inlineStr">
        <is>
          <t>[검증필요 — 부인 기준의 구체 수치]</t>
        </is>
      </c>
      <c r="F89" s="16" t="inlineStr"/>
      <c r="G89" s="16" t="inlineStr">
        <is>
          <t>양도소득세 부당행위계산 부인 기준의 구체 수치(시가 5% 기준). 증여세가 안 나와도 양도세가 시가로 재계산되는 국면. ※ 27장 L69와 연동.</t>
        </is>
      </c>
      <c r="H89" s="16" t="inlineStr">
        <is>
          <t>16_유형별_증여.md L62</t>
        </is>
      </c>
      <c r="I89" s="4" t="inlineStr">
        <is>
          <t>미확인</t>
        </is>
      </c>
      <c r="J89" s="16" t="inlineStr"/>
      <c r="K89" s="16" t="inlineStr"/>
      <c r="L89" s="15" t="inlineStr"/>
      <c r="M89" s="17" t="inlineStr"/>
      <c r="N89" s="16" t="inlineStr">
        <is>
          <t>※ 27장 L69와 연동</t>
        </is>
      </c>
      <c r="O89" s="18" t="inlineStr">
        <is>
          <t>16|L0062|1</t>
        </is>
      </c>
      <c r="P89" s="18" t="inlineStr">
        <is>
          <t>미확인</t>
        </is>
      </c>
    </row>
    <row r="90">
      <c r="A90" s="7" t="n">
        <v>89</v>
      </c>
      <c r="B90" s="7" t="n">
        <v>16</v>
      </c>
      <c r="C90" s="8" t="inlineStr">
        <is>
          <t>16.4 판례·심판례</t>
        </is>
      </c>
      <c r="D90" s="7" t="inlineStr">
        <is>
          <t>🟢 보완</t>
        </is>
      </c>
      <c r="E90" s="8" t="inlineStr">
        <is>
          <t>[검증필요 — 사실관계 세부·인용 조문은 2차 출처 기반, 원문 대조 요]</t>
        </is>
      </c>
      <c r="F90" s="8" t="inlineStr"/>
      <c r="G90" s="8" t="inlineStr">
        <is>
          <t>조심 2025.3.21. 2024중5770의 사실관계 세부·인용 조문이 2차 출처 기반 — 원문 대조. 심판원 결정은 법원 판결이 아니므로 "행동 예측치"로 읽어야 한다는 서술이 유지되는지 확인.</t>
        </is>
      </c>
      <c r="H90" s="8" t="inlineStr">
        <is>
          <t>16_유형별_증여.md L75</t>
        </is>
      </c>
      <c r="I90" s="4" t="inlineStr">
        <is>
          <t>미확인</t>
        </is>
      </c>
      <c r="J90" s="8" t="inlineStr"/>
      <c r="K90" s="8" t="inlineStr"/>
      <c r="L90" s="7" t="inlineStr"/>
      <c r="M90" s="9" t="inlineStr"/>
      <c r="N90" s="8" t="inlineStr"/>
      <c r="O90" s="10" t="inlineStr">
        <is>
          <t>16|L0075|1</t>
        </is>
      </c>
      <c r="P90" s="10" t="inlineStr">
        <is>
          <t>미확인</t>
        </is>
      </c>
    </row>
    <row r="91">
      <c r="A91" s="7" t="n">
        <v>90</v>
      </c>
      <c r="B91" s="7" t="n">
        <v>17</v>
      </c>
      <c r="C91" s="8" t="inlineStr">
        <is>
          <t>17.2 법령 근거 (법 §47)</t>
        </is>
      </c>
      <c r="D91" s="7" t="inlineStr">
        <is>
          <t>🟢 보완</t>
        </is>
      </c>
      <c r="E91" s="8" t="inlineStr">
        <is>
          <t>[검증필요: 해명자료 안내 서식 명칭·사후관리 주기의 국세청 원문]</t>
        </is>
      </c>
      <c r="F91" s="8" t="inlineStr"/>
      <c r="G91" s="8" t="inlineStr">
        <is>
          <t>인수 채무의 해명자료 안내 서식 명칭·사후관리 주기의 국세청 원문.</t>
        </is>
      </c>
      <c r="H91" s="8" t="inlineStr">
        <is>
          <t>17_부담부증여.md L43</t>
        </is>
      </c>
      <c r="I91" s="4" t="inlineStr">
        <is>
          <t>미확인</t>
        </is>
      </c>
      <c r="J91" s="8" t="inlineStr"/>
      <c r="K91" s="8" t="inlineStr"/>
      <c r="L91" s="7" t="inlineStr"/>
      <c r="M91" s="9" t="inlineStr"/>
      <c r="N91" s="8" t="inlineStr"/>
      <c r="O91" s="10" t="inlineStr">
        <is>
          <t>17|L0043|1</t>
        </is>
      </c>
      <c r="P91" s="10" t="inlineStr">
        <is>
          <t>미확인</t>
        </is>
      </c>
    </row>
    <row r="92">
      <c r="A92" s="15" t="n">
        <v>91</v>
      </c>
      <c r="B92" s="15" t="n">
        <v>17</v>
      </c>
      <c r="C92" s="16" t="inlineStr">
        <is>
          <t>17.3 실익 판단 4요소</t>
        </is>
      </c>
      <c r="D92" s="15" t="inlineStr">
        <is>
          <t>🔴 최우선</t>
        </is>
      </c>
      <c r="E92" s="16" t="inlineStr">
        <is>
          <t>[검증필요: 조정지역 범위 2025.10 대책 이후]</t>
        </is>
      </c>
      <c r="F92" s="16" t="inlineStr"/>
      <c r="G92" s="16" t="inlineStr">
        <is>
          <t>조정대상지역 범위(2025.10 대책 이후). 취득세 12% 중과 적용 여부를 가른다. ※ L64·27장 L31과 동일 사실 3건 — 한 번에 처리.</t>
        </is>
      </c>
      <c r="H92" s="16" t="inlineStr">
        <is>
          <t>17_부담부증여.md L51</t>
        </is>
      </c>
      <c r="I92" s="4" t="inlineStr">
        <is>
          <t>미확인</t>
        </is>
      </c>
      <c r="J92" s="16" t="inlineStr"/>
      <c r="K92" s="16" t="inlineStr"/>
      <c r="L92" s="15" t="inlineStr"/>
      <c r="M92" s="17" t="inlineStr"/>
      <c r="N92" s="16" t="inlineStr">
        <is>
          <t>※ L64·27장 L31과 동일 사실 3건 — 한 번에 처리</t>
        </is>
      </c>
      <c r="O92" s="18" t="inlineStr">
        <is>
          <t>17|L0051|1</t>
        </is>
      </c>
      <c r="P92" s="18" t="inlineStr">
        <is>
          <t>미확인</t>
        </is>
      </c>
    </row>
    <row r="93">
      <c r="A93" s="15" t="n">
        <v>92</v>
      </c>
      <c r="B93" s="15" t="n">
        <v>17</v>
      </c>
      <c r="C93" s="16" t="inlineStr">
        <is>
          <t>17.3 실익 판단 4요소</t>
        </is>
      </c>
      <c r="D93" s="15" t="inlineStr">
        <is>
          <t>🔴 최우선</t>
        </is>
      </c>
      <c r="E93" s="16" t="inlineStr">
        <is>
          <t>[검증필요: 조정대상지역 최신 지정 범위, 중과 유예 종료 후 보완조치(토지거래허가 관련)의 적용 범위]</t>
        </is>
      </c>
      <c r="F93" s="16" t="inlineStr"/>
      <c r="G93" s="16" t="inlineStr">
        <is>
          <t>조정대상지역 최신 지정 범위(2025.10.15. 대책으로 서울 전 자치구·경기 일부 확대), 중과 유예 종료(2026.5.9.) 후 보완조치(토지거래허가 관련)의 적용 범위. 양도세 중과 +20%p/+30%p와 장기보유특별공제 배제가 걸려 유불리 계산이 통째로 뒤집히는 지점.</t>
        </is>
      </c>
      <c r="H93" s="16" t="inlineStr">
        <is>
          <t>17_부담부증여.md L64</t>
        </is>
      </c>
      <c r="I93" s="4" t="inlineStr">
        <is>
          <t>미확인</t>
        </is>
      </c>
      <c r="J93" s="16" t="inlineStr"/>
      <c r="K93" s="16" t="inlineStr"/>
      <c r="L93" s="15" t="inlineStr"/>
      <c r="M93" s="17" t="inlineStr"/>
      <c r="N93" s="16" t="inlineStr"/>
      <c r="O93" s="18" t="inlineStr">
        <is>
          <t>17|L0064|1</t>
        </is>
      </c>
      <c r="P93" s="18" t="inlineStr">
        <is>
          <t>미확인</t>
        </is>
      </c>
    </row>
    <row r="94">
      <c r="A94" s="2" t="n">
        <v>93</v>
      </c>
      <c r="B94" s="2" t="n">
        <v>17</v>
      </c>
      <c r="C94" s="3" t="inlineStr">
        <is>
          <t>17.3 실익 판단 4요소</t>
        </is>
      </c>
      <c r="D94" s="2" t="inlineStr">
        <is>
          <t>🟡 중요</t>
        </is>
      </c>
      <c r="E94" s="3" t="inlineStr">
        <is>
          <t>[검증필요: 지방세법상 3요건 조문·1세대1주택 예외 규정 원문 대조]</t>
        </is>
      </c>
      <c r="F94" s="3" t="inlineStr"/>
      <c r="G94" s="3" t="inlineStr">
        <is>
          <t>지방세법상 12% 중과 3요건 조문·1세대1주택 예외 규정 원문 대조(①조정대상지역 주택 ②시가표준액 3억 이상 ③증여자가 다주택자).</t>
        </is>
      </c>
      <c r="H94" s="3" t="inlineStr">
        <is>
          <t>17_부담부증여.md L66</t>
        </is>
      </c>
      <c r="I94" s="4" t="inlineStr">
        <is>
          <t>미확인</t>
        </is>
      </c>
      <c r="J94" s="3" t="inlineStr"/>
      <c r="K94" s="3" t="inlineStr"/>
      <c r="L94" s="2" t="inlineStr"/>
      <c r="M94" s="5" t="inlineStr"/>
      <c r="N94" s="3" t="inlineStr"/>
      <c r="O94" s="6" t="inlineStr">
        <is>
          <t>17|L0066|1</t>
        </is>
      </c>
      <c r="P94" s="6" t="inlineStr">
        <is>
          <t>미확인</t>
        </is>
      </c>
    </row>
    <row r="95">
      <c r="A95" s="11" t="n">
        <v>94</v>
      </c>
      <c r="B95" s="11" t="n">
        <v>17</v>
      </c>
      <c r="C95" s="12" t="inlineStr">
        <is>
          <t>17.6 핵심 체크리스트</t>
        </is>
      </c>
      <c r="D95" s="11" t="inlineStr">
        <is>
          <t>⚪ 표기</t>
        </is>
      </c>
      <c r="E95" s="12" t="inlineStr">
        <is>
          <t>[검증필요]</t>
        </is>
      </c>
      <c r="F95" s="12" t="inlineStr"/>
      <c r="G95" s="12" t="inlineStr">
        <is>
          <t>출처 주석("취득세율·조정대상지역 범위는 지방세법 영역으로 [검증필요] 유지") → 실체는 17장 L51·L64·L66</t>
        </is>
      </c>
      <c r="H95" s="12" t="inlineStr">
        <is>
          <t>17_부담부증여.md L162</t>
        </is>
      </c>
      <c r="I95" s="4" t="inlineStr">
        <is>
          <t>해당없음</t>
        </is>
      </c>
      <c r="J95" s="12" t="inlineStr"/>
      <c r="K95" s="12" t="inlineStr"/>
      <c r="L95" s="11" t="inlineStr"/>
      <c r="M95" s="13" t="inlineStr"/>
      <c r="N95" s="12" t="inlineStr">
        <is>
          <t>표기 설명·상호참조 — 원문 조회 대상 아님. 마커를 지우지 말 것</t>
        </is>
      </c>
      <c r="O95" s="14" t="inlineStr">
        <is>
          <t>17|L0162|1</t>
        </is>
      </c>
      <c r="P95" s="14" t="inlineStr">
        <is>
          <t>해당없음</t>
        </is>
      </c>
    </row>
    <row r="96">
      <c r="A96" s="15" t="n">
        <v>95</v>
      </c>
      <c r="B96" s="15" t="n">
        <v>18</v>
      </c>
      <c r="C96" s="16" t="inlineStr">
        <is>
          <t>18.2 추정 2종</t>
        </is>
      </c>
      <c r="D96" s="15" t="inlineStr">
        <is>
          <t>🔴 최우선</t>
        </is>
      </c>
      <c r="E96" s="16" t="inlineStr">
        <is>
          <t>[검증필요: 최신 개정 확인]</t>
        </is>
      </c>
      <c r="F96" s="16" t="inlineStr">
        <is>
          <t>사무처리규정 §42 · 훈령 제2760호</t>
        </is>
      </c>
      <c r="G96" s="16" t="inlineStr">
        <is>
          <t>사무처리규정 §42 증여추정 배제기준표의 최신 개정 확인(30세 이상 총 2억, 40세 이상 총 4억 등 — 10년 합산). 훈령은 개정이 잦다. 훈령 제2760호(2026.8.3. 시행) 기준으로 재확인. ※ 원고의 "기준 이내라도 증여 사실이 확인되면 과세된다"는 단서가 유지되는지 확인.</t>
        </is>
      </c>
      <c r="H96" s="16" t="inlineStr">
        <is>
          <t>18_증여추정과_증여의제.md L53</t>
        </is>
      </c>
      <c r="I96" s="4" t="inlineStr">
        <is>
          <t>미확인</t>
        </is>
      </c>
      <c r="J96" s="16" t="inlineStr"/>
      <c r="K96" s="16" t="inlineStr"/>
      <c r="L96" s="15" t="inlineStr"/>
      <c r="M96" s="17" t="inlineStr"/>
      <c r="N96" s="16" t="inlineStr">
        <is>
          <t>※ 원고의 "기준 이내라도 증여 사실이 확인되면 과세된다"는 단서가 유지되는지 확인</t>
        </is>
      </c>
      <c r="O96" s="18" t="inlineStr">
        <is>
          <t>18|L0053|1</t>
        </is>
      </c>
      <c r="P96" s="18" t="inlineStr">
        <is>
          <t>미확인</t>
        </is>
      </c>
    </row>
    <row r="97">
      <c r="A97" s="15" t="n">
        <v>96</v>
      </c>
      <c r="B97" s="15" t="n">
        <v>18</v>
      </c>
      <c r="C97" s="16" t="inlineStr">
        <is>
          <t>18.3 의제 3종</t>
        </is>
      </c>
      <c r="D97" s="15" t="inlineStr">
        <is>
          <t>🔴 최우선</t>
        </is>
      </c>
      <c r="E97" s="16" t="inlineStr">
        <is>
          <t>[검증필요: §45의5 1억 기준 조문]</t>
        </is>
      </c>
      <c r="F97" s="16" t="inlineStr">
        <is>
          <t>§45의5</t>
        </is>
      </c>
      <c r="G97" s="16" t="inlineStr">
        <is>
          <t>§45의5 특정법인 거래 이익 1억 기준의 조문 근거.</t>
        </is>
      </c>
      <c r="H97" s="16" t="inlineStr">
        <is>
          <t>18_증여추정과_증여의제.md L61</t>
        </is>
      </c>
      <c r="I97" s="4" t="inlineStr">
        <is>
          <t>미확인</t>
        </is>
      </c>
      <c r="J97" s="16" t="inlineStr"/>
      <c r="K97" s="16" t="inlineStr"/>
      <c r="L97" s="15" t="inlineStr"/>
      <c r="M97" s="17" t="inlineStr"/>
      <c r="N97" s="16" t="inlineStr"/>
      <c r="O97" s="18" t="inlineStr">
        <is>
          <t>18|L0061|1</t>
        </is>
      </c>
      <c r="P97" s="18" t="inlineStr">
        <is>
          <t>미확인</t>
        </is>
      </c>
    </row>
    <row r="98">
      <c r="A98" s="7" t="n">
        <v>97</v>
      </c>
      <c r="B98" s="7" t="n">
        <v>18</v>
      </c>
      <c r="C98" s="8" t="inlineStr">
        <is>
          <t>18.4 자금출처조사 대응</t>
        </is>
      </c>
      <c r="D98" s="7" t="inlineStr">
        <is>
          <t>🟢 보완</t>
        </is>
      </c>
      <c r="E98" s="8" t="inlineStr">
        <is>
          <t>[검증필요: 위 항목·서류 목록의 국세청 공식 근거 문서(사무처리규정 별지·안내문 서식) 대조]</t>
        </is>
      </c>
      <c r="F98" s="8" t="inlineStr"/>
      <c r="G98" s="8" t="inlineStr">
        <is>
          <t>소명 항목·서류 목록의 국세청 공식 근거 문서(사무처리규정 별지·안내문 서식) 대조.</t>
        </is>
      </c>
      <c r="H98" s="8" t="inlineStr">
        <is>
          <t>18_증여추정과_증여의제.md L87</t>
        </is>
      </c>
      <c r="I98" s="4" t="inlineStr">
        <is>
          <t>미확인</t>
        </is>
      </c>
      <c r="J98" s="8" t="inlineStr"/>
      <c r="K98" s="8" t="inlineStr"/>
      <c r="L98" s="7" t="inlineStr"/>
      <c r="M98" s="9" t="inlineStr"/>
      <c r="N98" s="8" t="inlineStr"/>
      <c r="O98" s="10" t="inlineStr">
        <is>
          <t>18|L0087|1</t>
        </is>
      </c>
      <c r="P98" s="10" t="inlineStr">
        <is>
          <t>미확인</t>
        </is>
      </c>
    </row>
    <row r="99">
      <c r="A99" s="7" t="n">
        <v>98</v>
      </c>
      <c r="B99" s="7" t="n">
        <v>18</v>
      </c>
      <c r="C99" s="8" t="inlineStr">
        <is>
          <t>18.4 자금출처조사 대응</t>
        </is>
      </c>
      <c r="D99" s="7" t="inlineStr">
        <is>
          <t>🟢 보완</t>
        </is>
      </c>
      <c r="E99" s="8" t="inlineStr">
        <is>
          <t>[검증필요: PCI 시스템의 공식 명칭·운영 근거·현행 운영 여부]</t>
        </is>
      </c>
      <c r="F99" s="8" t="inlineStr"/>
      <c r="G99" s="8" t="inlineStr">
        <is>
          <t>PCI 시스템의 공식 명칭·운영 근거·현행 운영 여부. 확정 못하면 "~로 알려져 있다" 수준 유지.</t>
        </is>
      </c>
      <c r="H99" s="8" t="inlineStr">
        <is>
          <t>18_증여추정과_증여의제.md L97</t>
        </is>
      </c>
      <c r="I99" s="4" t="inlineStr">
        <is>
          <t>미확인</t>
        </is>
      </c>
      <c r="J99" s="8" t="inlineStr"/>
      <c r="K99" s="8" t="inlineStr"/>
      <c r="L99" s="7" t="inlineStr"/>
      <c r="M99" s="9" t="inlineStr"/>
      <c r="N99" s="8" t="inlineStr"/>
      <c r="O99" s="10" t="inlineStr">
        <is>
          <t>18|L0097|1</t>
        </is>
      </c>
      <c r="P99" s="10" t="inlineStr">
        <is>
          <t>미확인</t>
        </is>
      </c>
    </row>
    <row r="100">
      <c r="A100" s="15" t="n">
        <v>99</v>
      </c>
      <c r="B100" s="15" t="n">
        <v>18</v>
      </c>
      <c r="C100" s="16" t="inlineStr">
        <is>
          <t>18.5 사례 18-1</t>
        </is>
      </c>
      <c r="D100" s="15" t="inlineStr">
        <is>
          <t>🔴 최우선</t>
        </is>
      </c>
      <c r="E100" s="16" t="inlineStr">
        <is>
          <t>[검증필요: 추정 시 과세 대상이 미입증액 전액인지 여부 — 조문 확인]</t>
        </is>
      </c>
      <c r="F100" s="16" t="inlineStr">
        <is>
          <t>§15②</t>
        </is>
      </c>
      <c r="G100" s="16" t="inlineStr">
        <is>
          <t>추정 발동 시 과세 대상이 미입증액 전액인지 여부 — 조문 확인. 사례의 세액 결론이 여기에 달려 있다. ※ 5장의 §15② 확정(전액 산입)과 구조가 유사하나 조문이 다르므로 별도 확인 필요.</t>
        </is>
      </c>
      <c r="H100" s="16" t="inlineStr">
        <is>
          <t>18_증여추정과_증여의제.md L112</t>
        </is>
      </c>
      <c r="I100" s="4" t="inlineStr">
        <is>
          <t>미확인</t>
        </is>
      </c>
      <c r="J100" s="16" t="inlineStr"/>
      <c r="K100" s="16" t="inlineStr"/>
      <c r="L100" s="15" t="inlineStr"/>
      <c r="M100" s="17" t="inlineStr"/>
      <c r="N100" s="16" t="inlineStr">
        <is>
          <t>※ 5장의 §15② 확정(전액 산입)과 구조가 유사하나 조문이 다르므로 별도 확인 필요</t>
        </is>
      </c>
      <c r="O100" s="18" t="inlineStr">
        <is>
          <t>18|L0112|1</t>
        </is>
      </c>
      <c r="P100" s="18" t="inlineStr">
        <is>
          <t>미확인</t>
        </is>
      </c>
    </row>
    <row r="101">
      <c r="A101" s="7" t="n">
        <v>100</v>
      </c>
      <c r="B101" s="7" t="n">
        <v>18</v>
      </c>
      <c r="C101" s="8" t="inlineStr">
        <is>
          <t>18.6 자주 묻는 질문</t>
        </is>
      </c>
      <c r="D101" s="7" t="inlineStr">
        <is>
          <t>🟢 보완</t>
        </is>
      </c>
      <c r="E101" s="8" t="inlineStr">
        <is>
          <t>[검증필요: 명의신탁 환원 시 과세 처리에 관한 국세청 해석·판례]</t>
        </is>
      </c>
      <c r="F101" s="8" t="inlineStr"/>
      <c r="G101" s="8" t="inlineStr">
        <is>
          <t>명의신탁 환원 시 과세 처리에 관한 국세청 해석·판례.</t>
        </is>
      </c>
      <c r="H101" s="8" t="inlineStr">
        <is>
          <t>18_증여추정과_증여의제.md L165</t>
        </is>
      </c>
      <c r="I101" s="4" t="inlineStr">
        <is>
          <t>미확인</t>
        </is>
      </c>
      <c r="J101" s="8" t="inlineStr"/>
      <c r="K101" s="8" t="inlineStr"/>
      <c r="L101" s="7" t="inlineStr"/>
      <c r="M101" s="9" t="inlineStr"/>
      <c r="N101" s="8" t="inlineStr"/>
      <c r="O101" s="10" t="inlineStr">
        <is>
          <t>18|L0165|1</t>
        </is>
      </c>
      <c r="P101" s="10" t="inlineStr">
        <is>
          <t>미확인</t>
        </is>
      </c>
    </row>
    <row r="102">
      <c r="A102" s="2" t="n">
        <v>101</v>
      </c>
      <c r="B102" s="2" t="n">
        <v>19</v>
      </c>
      <c r="C102" s="3" t="inlineStr">
        <is>
          <t>19.2 창업자금 특례 (조특법 §30의5)</t>
        </is>
      </c>
      <c r="D102" s="2" t="inlineStr">
        <is>
          <t>🟡 중요</t>
        </is>
      </c>
      <c r="E102" s="3" t="inlineStr">
        <is>
          <t>[검증필요: 창업 제외 사유의 조문 자구·열거 업종 목록 — law.go.kr 조특법 §6③ 대조]</t>
        </is>
      </c>
      <c r="F102" s="3" t="inlineStr">
        <is>
          <t>조특법 §6③</t>
        </is>
      </c>
      <c r="G102" s="3" t="inlineStr">
        <is>
          <t>창업 제외 사유의 조문 자구·열거 업종 목록(조특법 §6③). 실무의 좌초 지점이 세율이 아니라 업종이므로 목록 자체가 중요.</t>
        </is>
      </c>
      <c r="H102" s="3" t="inlineStr">
        <is>
          <t>19_창업자금_가업승계_과세특례.md L29</t>
        </is>
      </c>
      <c r="I102" s="4" t="inlineStr">
        <is>
          <t>미확인</t>
        </is>
      </c>
      <c r="J102" s="3" t="inlineStr"/>
      <c r="K102" s="3" t="inlineStr"/>
      <c r="L102" s="2" t="inlineStr"/>
      <c r="M102" s="5" t="inlineStr"/>
      <c r="N102" s="3" t="inlineStr"/>
      <c r="O102" s="6" t="inlineStr">
        <is>
          <t>19|L0029|1</t>
        </is>
      </c>
      <c r="P102" s="6" t="inlineStr">
        <is>
          <t>미확인</t>
        </is>
      </c>
    </row>
    <row r="103">
      <c r="A103" s="15" t="n">
        <v>102</v>
      </c>
      <c r="B103" s="15" t="n">
        <v>19</v>
      </c>
      <c r="C103" s="16" t="inlineStr">
        <is>
          <t>19.3 가업승계 주식 특례 (조특법 §30의6)</t>
        </is>
      </c>
      <c r="D103" s="15" t="inlineStr">
        <is>
          <t>🔴 최우선</t>
        </is>
      </c>
      <c r="E103" s="16" t="inlineStr">
        <is>
          <t>[검증필요: 한도 상향 개정안 보도 존재 — 현행 300/400/600 유지가 복수 출처]</t>
        </is>
      </c>
      <c r="F103" s="16" t="inlineStr"/>
      <c r="G103" s="16" t="inlineStr">
        <is>
          <t>한도 300억(10년↑)/400억(20년↑)/600억(30년↑)의 현행 확인. 상향 개정안 보도가 있으나 현행 300/400/600 유지가 복수 출처.</t>
        </is>
      </c>
      <c r="H103" s="16" t="inlineStr">
        <is>
          <t>19_창업자금_가업승계_과세특례.md L38</t>
        </is>
      </c>
      <c r="I103" s="4" t="inlineStr">
        <is>
          <t>미확인</t>
        </is>
      </c>
      <c r="J103" s="16" t="inlineStr"/>
      <c r="K103" s="16" t="inlineStr"/>
      <c r="L103" s="15" t="inlineStr"/>
      <c r="M103" s="17" t="inlineStr"/>
      <c r="N103" s="16" t="inlineStr"/>
      <c r="O103" s="18" t="inlineStr">
        <is>
          <t>19|L0038|1</t>
        </is>
      </c>
      <c r="P103" s="18" t="inlineStr">
        <is>
          <t>미확인</t>
        </is>
      </c>
    </row>
    <row r="104">
      <c r="A104" s="2" t="n">
        <v>103</v>
      </c>
      <c r="B104" s="2" t="n">
        <v>19</v>
      </c>
      <c r="C104" s="3" t="inlineStr">
        <is>
          <t>19.4 두 특례 비교</t>
        </is>
      </c>
      <c r="D104" s="2" t="inlineStr">
        <is>
          <t>🟡 중요</t>
        </is>
      </c>
      <c r="E104" s="3" t="inlineStr">
        <is>
          <t>[검증필요: 중복 배제의 조문 근거 자구]</t>
        </is>
      </c>
      <c r="F104" s="3" t="inlineStr"/>
      <c r="G104" s="3" t="inlineStr">
        <is>
          <t>중복 배제의 조문 근거 자구(현재 복수 2차 출처 일치).</t>
        </is>
      </c>
      <c r="H104" s="3" t="inlineStr">
        <is>
          <t>19_창업자금_가업승계_과세특례.md L56</t>
        </is>
      </c>
      <c r="I104" s="4" t="inlineStr">
        <is>
          <t>미확인</t>
        </is>
      </c>
      <c r="J104" s="3" t="inlineStr"/>
      <c r="K104" s="3" t="inlineStr"/>
      <c r="L104" s="2" t="inlineStr"/>
      <c r="M104" s="5" t="inlineStr"/>
      <c r="N104" s="3" t="inlineStr"/>
      <c r="O104" s="6" t="inlineStr">
        <is>
          <t>19|L0056|1</t>
        </is>
      </c>
      <c r="P104" s="6" t="inlineStr">
        <is>
          <t>미확인</t>
        </is>
      </c>
    </row>
    <row r="105">
      <c r="A105" s="7" t="n">
        <v>104</v>
      </c>
      <c r="B105" s="7" t="n">
        <v>19</v>
      </c>
      <c r="C105" s="8" t="inlineStr">
        <is>
          <t>19.5 사후관리 타임라인</t>
        </is>
      </c>
      <c r="D105" s="7" t="inlineStr">
        <is>
          <t>🟢 보완</t>
        </is>
      </c>
      <c r="E105" s="8" t="inlineStr">
        <is>
          <t>[검증필요: 취임일 판정 기준 예규·심판례]</t>
        </is>
      </c>
      <c r="F105" s="8" t="inlineStr"/>
      <c r="G105" s="8" t="inlineStr">
        <is>
          <t>대표이사 취임일 판정 기준에 관한 예규·심판례(등기 기재일 기준 여부).</t>
        </is>
      </c>
      <c r="H105" s="8" t="inlineStr">
        <is>
          <t>19_창업자금_가업승계_과세특례.md L78</t>
        </is>
      </c>
      <c r="I105" s="4" t="inlineStr">
        <is>
          <t>미확인</t>
        </is>
      </c>
      <c r="J105" s="8" t="inlineStr"/>
      <c r="K105" s="8" t="inlineStr"/>
      <c r="L105" s="7" t="inlineStr"/>
      <c r="M105" s="9" t="inlineStr"/>
      <c r="N105" s="8" t="inlineStr"/>
      <c r="O105" s="10" t="inlineStr">
        <is>
          <t>19|L0078|1</t>
        </is>
      </c>
      <c r="P105" s="10" t="inlineStr">
        <is>
          <t>미확인</t>
        </is>
      </c>
    </row>
    <row r="106">
      <c r="A106" s="15" t="n">
        <v>105</v>
      </c>
      <c r="B106" s="15" t="n">
        <v>19</v>
      </c>
      <c r="C106" s="16" t="inlineStr">
        <is>
          <t>19.6 사례 19-3 〔함정〕</t>
        </is>
      </c>
      <c r="D106" s="15" t="inlineStr">
        <is>
          <t>🔴 최우선</t>
        </is>
      </c>
      <c r="E106" s="16" t="inlineStr">
        <is>
          <t>[검증필요: ① 곱셈 기초가 차액인지 총 증여세액인지 조문 자구 ② 2026.7.1. 시행 국세기본법령의 이자율 월 단위(1개월 1만분의 67) 전환이 조특령 준용에 반영되는지]</t>
        </is>
      </c>
      <c r="F106" s="16" t="inlineStr">
        <is>
          <t>조특령 §27의6⑤3호 · §11의2⑩2호 · 국기령 §27의4</t>
        </is>
      </c>
      <c r="G106" s="16" t="inlineStr">
        <is>
          <t>① 이자상당액 곱셈의 기초가 "차액"인지 "총 증여세액"인지 조문 자구 → 유지(미확정). ② 2026.7.1. 시행 국세기본법령의 월 단위 전환(1개월 1만분의 67)이 조특령 준용에 반영되는지 → ✅ 검증 완료: 무관. 조특법 가업승계 특례의 이자율은 조특령 §27의6⑤3호 → §11의2⑩2호의 1일 10만분의 22로 조특령 자체가 정하며, 국기령 §27의4 개정(지정납부기한 경과 구간의 월 단위 전환)과 체인이 다르다. 출처 verify_가업상속_추징률_이자상당액.md 확정 2·3. ①만 남았으므로 사례 19-3의 계산 전제는 ①이 확정될 때까지 "계산 전제" 박스를 유지할 것.</t>
        </is>
      </c>
      <c r="H106" s="16" t="inlineStr">
        <is>
          <t>19_창업자금_가업승계_과세특례.md L134</t>
        </is>
      </c>
      <c r="I106" s="4" t="inlineStr">
        <is>
          <t>확인중</t>
        </is>
      </c>
      <c r="J106" s="16" t="inlineStr"/>
      <c r="K106" s="16" t="inlineStr"/>
      <c r="L106" s="15" t="inlineStr"/>
      <c r="M106" s="17" t="inlineStr"/>
      <c r="N106" s="16" t="inlineStr">
        <is>
          <t>일부만 확정(체크리스트에 ✅ + 유지 병기) — 잔여 쟁점 확인 필요</t>
        </is>
      </c>
      <c r="O106" s="18" t="inlineStr">
        <is>
          <t>19|L0134|1</t>
        </is>
      </c>
      <c r="P106" s="18" t="inlineStr">
        <is>
          <t>확인중</t>
        </is>
      </c>
    </row>
    <row r="107">
      <c r="A107" s="2" t="n">
        <v>106</v>
      </c>
      <c r="B107" s="2" t="n">
        <v>19</v>
      </c>
      <c r="C107" s="3" t="inlineStr">
        <is>
          <t>19.7 자주 묻는 질문</t>
        </is>
      </c>
      <c r="D107" s="2" t="inlineStr">
        <is>
          <t>🟡 중요</t>
        </is>
      </c>
      <c r="E107" s="3" t="inlineStr">
        <is>
          <t>[검증필요: 부득이한 사유의 구체적 범위 — 조특법 시행령 현행본]</t>
        </is>
      </c>
      <c r="F107" s="3" t="inlineStr"/>
      <c r="G107" s="3" t="inlineStr">
        <is>
          <t>부득이한 사유의 구체적 범위(조특법 시행령 현행본). 창업자금 10년·가업승계 5년 내 휴폐업이 원칙적 추징 사유.</t>
        </is>
      </c>
      <c r="H107" s="3" t="inlineStr">
        <is>
          <t>19_창업자금_가업승계_과세특례.md L147</t>
        </is>
      </c>
      <c r="I107" s="4" t="inlineStr">
        <is>
          <t>미확인</t>
        </is>
      </c>
      <c r="J107" s="3" t="inlineStr"/>
      <c r="K107" s="3" t="inlineStr"/>
      <c r="L107" s="2" t="inlineStr"/>
      <c r="M107" s="5" t="inlineStr"/>
      <c r="N107" s="3" t="inlineStr"/>
      <c r="O107" s="6" t="inlineStr">
        <is>
          <t>19|L0147|1</t>
        </is>
      </c>
      <c r="P107" s="6" t="inlineStr">
        <is>
          <t>미확인</t>
        </is>
      </c>
    </row>
    <row r="108">
      <c r="A108" s="2" t="n">
        <v>107</v>
      </c>
      <c r="B108" s="2" t="n">
        <v>19</v>
      </c>
      <c r="C108" s="3" t="inlineStr">
        <is>
          <t>19.8 개정 예고</t>
        </is>
      </c>
      <c r="D108" s="2" t="inlineStr">
        <is>
          <t>🟡 중요</t>
        </is>
      </c>
      <c r="E108" s="3" t="inlineStr">
        <is>
          <t>[검증필요: §30의6 조문별 확정 내용, 경영기간 요건 수치(20년설·30년설 보도 혼재), 최종 시행일 — 국회 통과 후 law.go.kr 현행본 재확인]</t>
        </is>
      </c>
      <c r="F108" s="3" t="inlineStr">
        <is>
          <t>§30의6</t>
        </is>
      </c>
      <c r="G108" s="3" t="inlineStr">
        <is>
          <t>§30의6 조문별 확정 내용, 경영기간 요건 수치(20년설·30년설 보도 혼재), 최종 시행일 — 국회 통과 후 재확인. 보도가 엇갈리는 수치를 본문에 단정으로 쓰지 않았는지 확인.</t>
        </is>
      </c>
      <c r="H108" s="3" t="inlineStr">
        <is>
          <t>19_창업자금_가업승계_과세특례.md L157</t>
        </is>
      </c>
      <c r="I108" s="4" t="inlineStr">
        <is>
          <t>미확인</t>
        </is>
      </c>
      <c r="J108" s="3" t="inlineStr"/>
      <c r="K108" s="3" t="inlineStr"/>
      <c r="L108" s="2" t="inlineStr"/>
      <c r="M108" s="5" t="inlineStr"/>
      <c r="N108" s="3" t="inlineStr"/>
      <c r="O108" s="6" t="inlineStr">
        <is>
          <t>19|L0157|1</t>
        </is>
      </c>
      <c r="P108" s="6" t="inlineStr">
        <is>
          <t>미확인</t>
        </is>
      </c>
    </row>
    <row r="109">
      <c r="A109" s="15" t="n">
        <v>108</v>
      </c>
      <c r="B109" s="15" t="n">
        <v>20</v>
      </c>
      <c r="C109" s="16" t="inlineStr">
        <is>
          <t>20.2 과세의 두 갈래 (§33)</t>
        </is>
      </c>
      <c r="D109" s="15" t="inlineStr">
        <is>
          <t>🔴 최우선</t>
        </is>
      </c>
      <c r="E109" s="16" t="inlineStr">
        <is>
          <t>[검증필요: 지급시기 세부 기준과 장래 수익권 평가(현재가치 환산·할인율)의 시행령 조문 번호 — law.go.kr 대조]</t>
        </is>
      </c>
      <c r="F109" s="16" t="inlineStr"/>
      <c r="G109" s="16" t="inlineStr">
        <is>
          <t>지급시기 세부 기준과 장래 수익권 평가(현재가치 환산·할인율)의 시행령 조문 번호. 할인율은 평가액을 직접 결정. ※ L130과 연동.</t>
        </is>
      </c>
      <c r="H109" s="16" t="inlineStr">
        <is>
          <t>20_신탁과_상속증여.md L47</t>
        </is>
      </c>
      <c r="I109" s="4" t="inlineStr">
        <is>
          <t>미확인</t>
        </is>
      </c>
      <c r="J109" s="16" t="inlineStr"/>
      <c r="K109" s="16" t="inlineStr"/>
      <c r="L109" s="15" t="inlineStr"/>
      <c r="M109" s="17" t="inlineStr"/>
      <c r="N109" s="16" t="inlineStr">
        <is>
          <t>※ L130과 연동</t>
        </is>
      </c>
      <c r="O109" s="18" t="inlineStr">
        <is>
          <t>20|L0047|1</t>
        </is>
      </c>
      <c r="P109" s="18" t="inlineStr">
        <is>
          <t>미확인</t>
        </is>
      </c>
    </row>
    <row r="110">
      <c r="A110" s="7" t="n">
        <v>109</v>
      </c>
      <c r="B110" s="7" t="n">
        <v>20</v>
      </c>
      <c r="C110" s="8" t="inlineStr">
        <is>
          <t>20.3 유류분이라는 미해결 변수</t>
        </is>
      </c>
      <c r="D110" s="7" t="inlineStr">
        <is>
          <t>🟢 보완</t>
        </is>
      </c>
      <c r="E110" s="8" t="inlineStr">
        <is>
          <t>[검증필요: 집필·개정판 시점마다 대법원 선고 여부 재검색]</t>
        </is>
      </c>
      <c r="F110" s="8" t="inlineStr"/>
      <c r="G110" s="8" t="inlineStr">
        <is>
          <t>유언대용신탁과 유류분에 관한 대법원 선고 여부 재검색. 2026-08-13 현재 판단 없음. 집필·개정판 시점마다 필수 재검색(§2 개정 감시와 중복 등재).</t>
        </is>
      </c>
      <c r="H110" s="8" t="inlineStr">
        <is>
          <t>20_신탁과_상속증여.md L63</t>
        </is>
      </c>
      <c r="I110" s="4" t="inlineStr">
        <is>
          <t>미확인</t>
        </is>
      </c>
      <c r="J110" s="8" t="inlineStr"/>
      <c r="K110" s="8" t="inlineStr"/>
      <c r="L110" s="7" t="inlineStr"/>
      <c r="M110" s="9" t="inlineStr"/>
      <c r="N110" s="8" t="inlineStr"/>
      <c r="O110" s="10" t="inlineStr">
        <is>
          <t>20|L0063|1</t>
        </is>
      </c>
      <c r="P110" s="10" t="inlineStr">
        <is>
          <t>미확인</t>
        </is>
      </c>
    </row>
    <row r="111">
      <c r="A111" s="7" t="n">
        <v>110</v>
      </c>
      <c r="B111" s="7" t="n">
        <v>20</v>
      </c>
      <c r="C111" s="8" t="inlineStr">
        <is>
          <t>20.3 유류분이라는 미해결 변수</t>
        </is>
      </c>
      <c r="D111" s="7" t="inlineStr">
        <is>
          <t>🟢 보완</t>
        </is>
      </c>
      <c r="E111" s="8" t="inlineStr">
        <is>
          <t>[검증필요: 사건번호·선고일 원문 대조]</t>
        </is>
      </c>
      <c r="F111" s="8" t="inlineStr">
        <is>
          <t>2020가합100994</t>
        </is>
      </c>
      <c r="G111" s="8" t="inlineStr">
        <is>
          <t>창원지법 마산지원 2020가합100994의 사건번호·선고일 원문 대조(신탁재산을 유류분 산정에 포함한 하급심).</t>
        </is>
      </c>
      <c r="H111" s="8" t="inlineStr">
        <is>
          <t>20_신탁과_상속증여.md L72</t>
        </is>
      </c>
      <c r="I111" s="4" t="inlineStr">
        <is>
          <t>미확인</t>
        </is>
      </c>
      <c r="J111" s="8" t="inlineStr"/>
      <c r="K111" s="8" t="inlineStr"/>
      <c r="L111" s="7" t="inlineStr"/>
      <c r="M111" s="9" t="inlineStr"/>
      <c r="N111" s="8" t="inlineStr"/>
      <c r="O111" s="10" t="inlineStr">
        <is>
          <t>20|L0072|1</t>
        </is>
      </c>
      <c r="P111" s="10" t="inlineStr">
        <is>
          <t>미확인</t>
        </is>
      </c>
    </row>
    <row r="112">
      <c r="A112" s="2" t="n">
        <v>111</v>
      </c>
      <c r="B112" s="2" t="n">
        <v>20</v>
      </c>
      <c r="C112" s="3" t="inlineStr">
        <is>
          <t>20.3 유류분이라는 미해결 변수</t>
        </is>
      </c>
      <c r="D112" s="2" t="inlineStr">
        <is>
          <t>🟡 중요</t>
        </is>
      </c>
      <c r="E112" s="3" t="inlineStr">
        <is>
          <t>[검증필요: 개정 조문 번호·부칙 적용례(시행 전 개시된 상속에의 적용) law.go.kr 대조]</t>
        </is>
      </c>
      <c r="F112" s="3" t="inlineStr"/>
      <c r="G112" s="3" t="inlineStr">
        <is>
          <t>2026.2.12. 의결·2026.3.17. 공포·시행 민법 개정의 조문 번호·부칙 적용례(시행 전 개시된 상속에의 적용) — law.go.kr 대조. ※ 3장 L97과 동일 개정 — 함께 처리.</t>
        </is>
      </c>
      <c r="H112" s="3" t="inlineStr">
        <is>
          <t>20_신탁과_상속증여.md L81</t>
        </is>
      </c>
      <c r="I112" s="4" t="inlineStr">
        <is>
          <t>미확인</t>
        </is>
      </c>
      <c r="J112" s="3" t="inlineStr"/>
      <c r="K112" s="3" t="inlineStr"/>
      <c r="L112" s="2" t="inlineStr"/>
      <c r="M112" s="5" t="inlineStr"/>
      <c r="N112" s="3" t="inlineStr">
        <is>
          <t>※ 3장 L97과 동일 개정 — 함께 처리</t>
        </is>
      </c>
      <c r="O112" s="6" t="inlineStr">
        <is>
          <t>20|L0081|1</t>
        </is>
      </c>
      <c r="P112" s="6" t="inlineStr">
        <is>
          <t>미확인</t>
        </is>
      </c>
    </row>
    <row r="113">
      <c r="A113" s="15" t="n">
        <v>112</v>
      </c>
      <c r="B113" s="15" t="n">
        <v>20</v>
      </c>
      <c r="C113" s="16" t="inlineStr">
        <is>
          <t>20.3 장애인 신탁 (§52의2)</t>
        </is>
      </c>
      <c r="D113" s="15" t="inlineStr">
        <is>
          <t>🔴 최우선</t>
        </is>
      </c>
      <c r="E113" s="16" t="inlineStr">
        <is>
          <t>[검증필요: "10억 상향"은 2026 개편안 단계 — 현행 5억]</t>
        </is>
      </c>
      <c r="F113" s="16" t="inlineStr"/>
      <c r="G113" s="16" t="inlineStr">
        <is>
          <t>현행 한도는 5억(생존기간 합산 과세가액 불산입). "10억 상향"은 2026 개편안 단계 — 현행법과 개편안이 뒤섞이지 않았는지 확인. ※ L133과 동일 쟁점.</t>
        </is>
      </c>
      <c r="H113" s="16" t="inlineStr">
        <is>
          <t>20_신탁과_상속증여.md L84</t>
        </is>
      </c>
      <c r="I113" s="4" t="inlineStr">
        <is>
          <t>미확인</t>
        </is>
      </c>
      <c r="J113" s="16" t="inlineStr"/>
      <c r="K113" s="16" t="inlineStr"/>
      <c r="L113" s="15" t="inlineStr"/>
      <c r="M113" s="17" t="inlineStr"/>
      <c r="N113" s="16" t="inlineStr">
        <is>
          <t>※ L133과 동일 쟁점</t>
        </is>
      </c>
      <c r="O113" s="18" t="inlineStr">
        <is>
          <t>20|L0084|1</t>
        </is>
      </c>
      <c r="P113" s="18" t="inlineStr">
        <is>
          <t>미확인</t>
        </is>
      </c>
    </row>
    <row r="114">
      <c r="A114" s="2" t="n">
        <v>113</v>
      </c>
      <c r="B114" s="2" t="n">
        <v>20</v>
      </c>
      <c r="C114" s="3" t="inlineStr">
        <is>
          <t>20.5 자주 묻는 질문</t>
        </is>
      </c>
      <c r="D114" s="2" t="inlineStr">
        <is>
          <t>🟡 중요</t>
        </is>
      </c>
      <c r="E114" s="3" t="inlineStr">
        <is>
          <t>[검증필요: 수익권 종류별 평가 규정의 시행령 조문]</t>
        </is>
      </c>
      <c r="F114" s="3" t="inlineStr"/>
      <c r="G114" s="3" t="inlineStr">
        <is>
          <t>수익권 종류별 평가 규정의 시행령 조문(원본 수익권 vs 수익 수익권).</t>
        </is>
      </c>
      <c r="H114" s="3" t="inlineStr">
        <is>
          <t>20_신탁과_상속증여.md L130</t>
        </is>
      </c>
      <c r="I114" s="4" t="inlineStr">
        <is>
          <t>미확인</t>
        </is>
      </c>
      <c r="J114" s="3" t="inlineStr"/>
      <c r="K114" s="3" t="inlineStr"/>
      <c r="L114" s="2" t="inlineStr"/>
      <c r="M114" s="5" t="inlineStr"/>
      <c r="N114" s="3" t="inlineStr"/>
      <c r="O114" s="6" t="inlineStr">
        <is>
          <t>20|L0130|1</t>
        </is>
      </c>
      <c r="P114" s="6" t="inlineStr">
        <is>
          <t>미확인</t>
        </is>
      </c>
    </row>
    <row r="115">
      <c r="A115" s="7" t="n">
        <v>114</v>
      </c>
      <c r="B115" s="7" t="n">
        <v>20</v>
      </c>
      <c r="C115" s="8" t="inlineStr">
        <is>
          <t>20.5 자주 묻는 질문</t>
        </is>
      </c>
      <c r="D115" s="7" t="inlineStr">
        <is>
          <t>🟢 보완</t>
        </is>
      </c>
      <c r="E115" s="8" t="inlineStr">
        <is>
          <t>[검증필요: 개정 통과 여부 — 개정판마다 재확인]</t>
        </is>
      </c>
      <c r="F115" s="8" t="inlineStr"/>
      <c r="G115" s="8" t="inlineStr">
        <is>
          <t>장애인 신탁 한도 개정 통과 여부 — 개정판마다 재확인.</t>
        </is>
      </c>
      <c r="H115" s="8" t="inlineStr">
        <is>
          <t>20_신탁과_상속증여.md L133</t>
        </is>
      </c>
      <c r="I115" s="4" t="inlineStr">
        <is>
          <t>미확인</t>
        </is>
      </c>
      <c r="J115" s="8" t="inlineStr"/>
      <c r="K115" s="8" t="inlineStr"/>
      <c r="L115" s="7" t="inlineStr"/>
      <c r="M115" s="9" t="inlineStr"/>
      <c r="N115" s="8" t="inlineStr"/>
      <c r="O115" s="10" t="inlineStr">
        <is>
          <t>20|L0133|1</t>
        </is>
      </c>
      <c r="P115" s="10" t="inlineStr">
        <is>
          <t>미확인</t>
        </is>
      </c>
    </row>
    <row r="116">
      <c r="A116" s="15" t="n">
        <v>115</v>
      </c>
      <c r="B116" s="15" t="n">
        <v>21</v>
      </c>
      <c r="C116" s="16" t="inlineStr">
        <is>
          <t>21.2 평가기간과 시가 인정 (법 §60, 령 §49)</t>
        </is>
      </c>
      <c r="D116" s="15" t="inlineStr">
        <is>
          <t>🔴 최우선</t>
        </is>
      </c>
      <c r="E116" s="16" t="inlineStr">
        <is>
          <t>[검증필요: 감정가액의 기준 시점, 유사재산 판정의 차이 허용 범위와 선택 순서, 평가기간 문언 현행판 — 시행령 원문 대조]</t>
        </is>
      </c>
      <c r="F116" s="16" t="inlineStr">
        <is>
          <t>시행령 §49①</t>
        </is>
      </c>
      <c r="G116" s="16" t="inlineStr">
        <is>
          <t>① 감정가액의 기준 시점 ② 유사재산 판정의 차이 허용 범위와 선택 순서 ③ 평가기간 문언 현행판 — 시행령 원문 대조. → verify 유지 항목: 평가기간 문언("증여일 전 6개월~후 3개월")은 미러 자료가 구버전이라 원문 미확보. 평가액 산정의 출발점이므로 🔴. ※ 시행령 §49① 단서(평가기준일 전 2년 이내 매매등도 평가심의위 심의로 시가 포함 가능)는 원문 확정.</t>
        </is>
      </c>
      <c r="H116" s="16" t="inlineStr">
        <is>
          <t>21_평가_원칙.md L37</t>
        </is>
      </c>
      <c r="I116" s="4" t="inlineStr">
        <is>
          <t>확인중</t>
        </is>
      </c>
      <c r="J116" s="16" t="inlineStr"/>
      <c r="K116" s="16" t="inlineStr"/>
      <c r="L116" s="15" t="inlineStr"/>
      <c r="M116" s="17" t="inlineStr"/>
      <c r="N116" s="16" t="inlineStr">
        <is>
          <t>verify로 근거 일부 확보, 항목은 유지 / ※ 시행령 §49① 단서(평가기준일 전 2년 이내 매매등도 평가심의위 심의로 시가 포함 가능)는 원문 확정</t>
        </is>
      </c>
      <c r="O116" s="18" t="inlineStr">
        <is>
          <t>21|L0037|1</t>
        </is>
      </c>
      <c r="P116" s="18" t="inlineStr">
        <is>
          <t>확인중</t>
        </is>
      </c>
    </row>
    <row r="117">
      <c r="A117" s="7" t="n">
        <v>116</v>
      </c>
      <c r="B117" s="7" t="n">
        <v>21</v>
      </c>
      <c r="C117" s="8" t="inlineStr">
        <is>
          <t>21.3 평가심의위원회</t>
        </is>
      </c>
      <c r="D117" s="7" t="inlineStr">
        <is>
          <t>🟢 보완</t>
        </is>
      </c>
      <c r="E117" s="8" t="inlineStr">
        <is>
          <t>[검증필요: 시행령 제49조의2 제2항 자체의 위원 수 문언 / 지방국세청 외부위원 4명→9명 확대는 행정예고 단계]</t>
        </is>
      </c>
      <c r="F117" s="8" t="inlineStr">
        <is>
          <t>시행령 §49의2 · 훈령 제4조 · §49의2① · 시행령 제49조의2 제2항</t>
        </is>
      </c>
      <c r="G117" s="8" t="inlineStr">
        <is>
          <t>시행령 §49의2 제2항 자체의 위원 수 문언 / 지방국세청 외부위원 4명→9명 확대는 행정예고 단계. → verify 유지 항목: 위원 수는 훈령 제4조 기준으로만 인용(국세청 내부 3 + 외부 11명 이내 / 지방청 내부 3 + 외부 4명 이내)하고 시행령 원문 수치는 인용 금지. 설치 근거(§49의2①, 국세청·지방국세청 각각)와 심의사항 6종은 확정.</t>
        </is>
      </c>
      <c r="H117" s="8" t="inlineStr">
        <is>
          <t>21_평가_원칙.md L47</t>
        </is>
      </c>
      <c r="I117" s="4" t="inlineStr">
        <is>
          <t>확인중</t>
        </is>
      </c>
      <c r="J117" s="8" t="inlineStr"/>
      <c r="K117" s="8" t="inlineStr"/>
      <c r="L117" s="7" t="inlineStr"/>
      <c r="M117" s="9" t="inlineStr"/>
      <c r="N117" s="8" t="inlineStr">
        <is>
          <t>verify로 근거 일부 확보, 항목은 유지</t>
        </is>
      </c>
      <c r="O117" s="10" t="inlineStr">
        <is>
          <t>21|L0047|1</t>
        </is>
      </c>
      <c r="P117" s="10" t="inlineStr">
        <is>
          <t>확인중</t>
        </is>
      </c>
    </row>
    <row r="118">
      <c r="A118" s="7" t="n">
        <v>117</v>
      </c>
      <c r="B118" s="7" t="n">
        <v>21</v>
      </c>
      <c r="C118" s="8" t="inlineStr">
        <is>
          <t>21.4 부동산 감정평가 사업</t>
        </is>
      </c>
      <c r="D118" s="7" t="inlineStr">
        <is>
          <t>🟢 보완</t>
        </is>
      </c>
      <c r="E118" s="8" t="inlineStr">
        <is>
          <t>[검증필요: 예산액은 언론 보도 기반으로 1차 자료 미확인 / 훈령 제2760호(2026.8.3. 시행)의 제72조 개정 여부]</t>
        </is>
      </c>
      <c r="F118" s="8" t="inlineStr">
        <is>
          <t>훈령 제2760호 · §72</t>
        </is>
      </c>
      <c r="G118" s="8" t="inlineStr">
        <is>
          <t>예산액이 언론 보도 기반으로 1차 자료 미확인(2025년 96억 → 2026년 67억) / 훈령 제2760호(2026.8.3. 시행)의 §72 개정 여부. → verify 유지 항목. "증액" 서술 금지는 확정.</t>
        </is>
      </c>
      <c r="H118" s="8" t="inlineStr">
        <is>
          <t>21_평가_원칙.md L70</t>
        </is>
      </c>
      <c r="I118" s="4" t="inlineStr">
        <is>
          <t>확인중</t>
        </is>
      </c>
      <c r="J118" s="8" t="inlineStr"/>
      <c r="K118" s="8" t="inlineStr"/>
      <c r="L118" s="7" t="inlineStr"/>
      <c r="M118" s="9" t="inlineStr"/>
      <c r="N118" s="8" t="inlineStr">
        <is>
          <t>verify로 근거 일부 확보, 항목은 유지</t>
        </is>
      </c>
      <c r="O118" s="10" t="inlineStr">
        <is>
          <t>21|L0070|1</t>
        </is>
      </c>
      <c r="P118" s="10" t="inlineStr">
        <is>
          <t>확인중</t>
        </is>
      </c>
    </row>
    <row r="119">
      <c r="A119" s="7" t="n">
        <v>118</v>
      </c>
      <c r="B119" s="7" t="n">
        <v>21</v>
      </c>
      <c r="C119" s="8" t="inlineStr">
        <is>
          <t>21.5 판례</t>
        </is>
      </c>
      <c r="D119" s="7" t="inlineStr">
        <is>
          <t>🟢 보완</t>
        </is>
      </c>
      <c r="E119" s="8" t="inlineStr">
        <is>
          <t>[검증필요: 대법원 2026.4.30. 2024두61780 — 사건번호·판시 요지가 공식 판례 DB 대조 미완]</t>
        </is>
      </c>
      <c r="F119" s="8" t="inlineStr">
        <is>
          <t>대법원 2026.4.30. · 2024두61780</t>
        </is>
      </c>
      <c r="G119" s="8" t="inlineStr">
        <is>
          <t>대법원 2026.4.30. 2024두61780 — 사건번호·판시 요지가 공식 판례 DB 대조 미완(언론 3곳 교차확인 상태). 판시 요지는 "소급감정 과세 적법, 단 '가격변동의 특별한 사정이 없을 것' 요건은 감정가액평가서 작성일까지 충족 필요". → 인용 시 [검증필요] 유지.</t>
        </is>
      </c>
      <c r="H119" s="8" t="inlineStr">
        <is>
          <t>21_평가_원칙.md L88</t>
        </is>
      </c>
      <c r="I119" s="4" t="inlineStr">
        <is>
          <t>미확인</t>
        </is>
      </c>
      <c r="J119" s="8" t="inlineStr"/>
      <c r="K119" s="8" t="inlineStr"/>
      <c r="L119" s="7" t="inlineStr"/>
      <c r="M119" s="9" t="inlineStr"/>
      <c r="N119" s="8" t="inlineStr">
        <is>
          <t>①</t>
        </is>
      </c>
      <c r="O119" s="10" t="inlineStr">
        <is>
          <t>21|L0088|1</t>
        </is>
      </c>
      <c r="P119" s="10" t="inlineStr">
        <is>
          <t>미확인</t>
        </is>
      </c>
    </row>
    <row r="120">
      <c r="A120" s="7" t="n">
        <v>119</v>
      </c>
      <c r="B120" s="7" t="n">
        <v>21</v>
      </c>
      <c r="C120" s="8" t="inlineStr">
        <is>
          <t>21.5 판례</t>
        </is>
      </c>
      <c r="D120" s="7" t="inlineStr">
        <is>
          <t>🟢 보완</t>
        </is>
      </c>
      <c r="E120" s="8" t="inlineStr">
        <is>
          <t>[검증필요: 해당 사건번호·심급 미확인]</t>
        </is>
      </c>
      <c r="F120" s="8" t="inlineStr">
        <is>
          <t>대법원 2026.4.2. · 2025두35499 · 2023누42333</t>
        </is>
      </c>
      <c r="G120" s="8" t="inlineStr">
        <is>
          <t>반대 취지 하급심(한국경제 2025.12.25. 보도 "꼬마빌딩 감정평가 위법")의 사건번호·심급 미확인. → "법원이 일관되게 인정한다" 식 단정 금지가 유지되는지 확인. ※ 확정된 인용처: 대법원 2026.4.2. 2025두35499(lx.scourt.go.kr/search/detail/precedent/0/2026000036467), 서울고법 2024.8.20. 2023누42333(국세청 보도자료 명기).</t>
        </is>
      </c>
      <c r="H120" s="8" t="inlineStr">
        <is>
          <t>21_평가_원칙.md L88</t>
        </is>
      </c>
      <c r="I120" s="4" t="inlineStr">
        <is>
          <t>미확인</t>
        </is>
      </c>
      <c r="J120" s="8" t="inlineStr"/>
      <c r="K120" s="8" t="inlineStr"/>
      <c r="L120" s="7" t="inlineStr"/>
      <c r="M120" s="9" t="inlineStr"/>
      <c r="N120" s="8" t="inlineStr">
        <is>
          <t>② / ※ 확정된 인용처: 대법원 2026.4.2. 2025두35499(lx.scourt.go.kr/search/detail/precedent/0/2026000036467), 서울고법 2024.8.20. 2023누42333(국세청 보도자료 명기)</t>
        </is>
      </c>
      <c r="O120" s="10" t="inlineStr">
        <is>
          <t>21|L0088|2</t>
        </is>
      </c>
      <c r="P120" s="10" t="inlineStr">
        <is>
          <t>미확인</t>
        </is>
      </c>
    </row>
    <row r="121">
      <c r="A121" s="15" t="n">
        <v>120</v>
      </c>
      <c r="B121" s="15" t="n">
        <v>22</v>
      </c>
      <c r="C121" s="16" t="inlineStr">
        <is>
          <t>22.2 부동산 (법 §61)</t>
        </is>
      </c>
      <c r="D121" s="15" t="inlineStr">
        <is>
          <t>🔴 최우선</t>
        </is>
      </c>
      <c r="E121" s="16" t="inlineStr">
        <is>
          <t>[검증필요: 시행규칙 해당 조항 번호·현행 율 원문 대조]</t>
        </is>
      </c>
      <c r="F121" s="16" t="inlineStr">
        <is>
          <t>시행규칙 §15의2 · 법 §61⑤ · 시행령 §50⑦</t>
        </is>
      </c>
      <c r="G121" s="16" t="inlineStr">
        <is>
          <t>임대료 환산율 100분의 12의 시행규칙 조항 번호·현행 율 원문 대조. → verify 유지 항목: 검색 요약에만 등장, 시행규칙 §15의2 원문 미확인. 본문 게재 시 [검증필요] 유지. ※ 법 §61⑤ + 시행령 §50⑦의 큰 금액(higher-of) 규칙은 확정.</t>
        </is>
      </c>
      <c r="H121" s="16" t="inlineStr">
        <is>
          <t>22_보충적_평가.md L32</t>
        </is>
      </c>
      <c r="I121" s="4" t="inlineStr">
        <is>
          <t>확인중</t>
        </is>
      </c>
      <c r="J121" s="16" t="inlineStr"/>
      <c r="K121" s="16" t="inlineStr"/>
      <c r="L121" s="15" t="inlineStr"/>
      <c r="M121" s="17" t="inlineStr"/>
      <c r="N121" s="16" t="inlineStr">
        <is>
          <t>verify로 근거 일부 확보, 항목은 유지 / ※ 법 §61⑤ + 시행령 §50⑦의 큰 금액(higher-of) 규칙은 확정</t>
        </is>
      </c>
      <c r="O121" s="18" t="inlineStr">
        <is>
          <t>22|L0032|1</t>
        </is>
      </c>
      <c r="P121" s="18" t="inlineStr">
        <is>
          <t>확인중</t>
        </is>
      </c>
    </row>
    <row r="122">
      <c r="A122" s="15" t="n">
        <v>121</v>
      </c>
      <c r="B122" s="15" t="n">
        <v>22</v>
      </c>
      <c r="C122" s="16" t="inlineStr">
        <is>
          <t>22.3 비상장주식 (법 §63, 령 §54)</t>
        </is>
      </c>
      <c r="D122" s="15" t="inlineStr">
        <is>
          <t>🔴 최우선</t>
        </is>
      </c>
      <c r="E122" s="16" t="inlineStr">
        <is>
          <t>[검증필요: 시행규칙 해당 조항 번호 원문 대조]</t>
        </is>
      </c>
      <c r="F122" s="16" t="inlineStr"/>
      <c r="G122" s="16" t="inlineStr">
        <is>
          <t>순손익가치 환원율 연 10%의 시행규칙 조항 번호 원문 대조. 3:2:1 가중평균과 함께 비상장주식 평가액을 직접 결정.</t>
        </is>
      </c>
      <c r="H122" s="16" t="inlineStr">
        <is>
          <t>22_보충적_평가.md L46</t>
        </is>
      </c>
      <c r="I122" s="4" t="inlineStr">
        <is>
          <t>미확인</t>
        </is>
      </c>
      <c r="J122" s="16" t="inlineStr"/>
      <c r="K122" s="16" t="inlineStr"/>
      <c r="L122" s="15" t="inlineStr"/>
      <c r="M122" s="17" t="inlineStr"/>
      <c r="N122" s="16" t="inlineStr"/>
      <c r="O122" s="18" t="inlineStr">
        <is>
          <t>22|L0046|1</t>
        </is>
      </c>
      <c r="P122" s="18" t="inlineStr">
        <is>
          <t>미확인</t>
        </is>
      </c>
    </row>
    <row r="123">
      <c r="A123" s="7" t="n">
        <v>122</v>
      </c>
      <c r="B123" s="7" t="n">
        <v>22</v>
      </c>
      <c r="C123" s="8" t="inlineStr">
        <is>
          <t>22.6 자주 묻는 질문</t>
        </is>
      </c>
      <c r="D123" s="7" t="inlineStr">
        <is>
          <t>🟢 보완</t>
        </is>
      </c>
      <c r="E123" s="8" t="inlineStr">
        <is>
          <t>[검증필요: 임대차 해지·변경 직후 평가에 관한 과세관청 해석 층위]</t>
        </is>
      </c>
      <c r="F123" s="8" t="inlineStr"/>
      <c r="G123" s="8" t="inlineStr">
        <is>
          <t>임대차 해지·변경 직후 평가에 관한 과세관청 해석 층위.</t>
        </is>
      </c>
      <c r="H123" s="8" t="inlineStr">
        <is>
          <t>22_보충적_평가.md L136</t>
        </is>
      </c>
      <c r="I123" s="4" t="inlineStr">
        <is>
          <t>미확인</t>
        </is>
      </c>
      <c r="J123" s="8" t="inlineStr"/>
      <c r="K123" s="8" t="inlineStr"/>
      <c r="L123" s="7" t="inlineStr"/>
      <c r="M123" s="9" t="inlineStr"/>
      <c r="N123" s="8" t="inlineStr"/>
      <c r="O123" s="10" t="inlineStr">
        <is>
          <t>22|L0136|1</t>
        </is>
      </c>
      <c r="P123" s="10" t="inlineStr">
        <is>
          <t>미확인</t>
        </is>
      </c>
    </row>
    <row r="124">
      <c r="A124" s="2" t="n">
        <v>123</v>
      </c>
      <c r="B124" s="2" t="n">
        <v>22</v>
      </c>
      <c r="C124" s="3" t="inlineStr">
        <is>
          <t>22.6 자주 묻는 질문</t>
        </is>
      </c>
      <c r="D124" s="2" t="inlineStr">
        <is>
          <t>🟡 중요</t>
        </is>
      </c>
      <c r="E124" s="3" t="inlineStr">
        <is>
          <t>[검증필요: 최대주주 할증 배제의 매출액 산정 사업연도·중견기업 판정 기준 원문]</t>
        </is>
      </c>
      <c r="F124" s="3" t="inlineStr">
        <is>
          <t>시행령 §53⑥ · §53⑦ · §53⑧</t>
        </is>
      </c>
      <c r="G124" s="3" t="inlineStr">
        <is>
          <t>최대주주 할증 배제의 매출액 산정 사업연도·중견기업 판정 기준 원문. → verify 유지 항목: 시행령 §53⑥(중소기업)·§53⑦(중견기업 — 직전 3개 사업연도 매출액 평균 5천억원 미만) 항 번호가 검색 요약만 확인되고 원문 fetch 실패. 할증 제외 열거 항이 §53⑧인지도 미확보 — 항 번호 명기 전 직접 확인. ※ 할증률 일률 20%는 확정(§3.4).</t>
        </is>
      </c>
      <c r="H124" s="3" t="inlineStr">
        <is>
          <t>22_보충적_평가.md L142</t>
        </is>
      </c>
      <c r="I124" s="4" t="inlineStr">
        <is>
          <t>확인중</t>
        </is>
      </c>
      <c r="J124" s="3" t="inlineStr"/>
      <c r="K124" s="3" t="inlineStr"/>
      <c r="L124" s="2" t="inlineStr"/>
      <c r="M124" s="5" t="inlineStr"/>
      <c r="N124" s="3" t="inlineStr">
        <is>
          <t>verify로 근거 일부 확보, 항목은 유지 / ※ 할증률 일률 20%는 확정(§3.4)</t>
        </is>
      </c>
      <c r="O124" s="6" t="inlineStr">
        <is>
          <t>22|L0142|1</t>
        </is>
      </c>
      <c r="P124" s="6" t="inlineStr">
        <is>
          <t>확인중</t>
        </is>
      </c>
    </row>
    <row r="125">
      <c r="A125" s="15" t="n">
        <v>124</v>
      </c>
      <c r="B125" s="15" t="n">
        <v>23</v>
      </c>
      <c r="C125" s="16" t="inlineStr">
        <is>
          <t>23.2 가산세 (국세기본법)</t>
        </is>
      </c>
      <c r="D125" s="15" t="inlineStr">
        <is>
          <t>🔴 최우선</t>
        </is>
      </c>
      <c r="E125" s="16" t="inlineStr">
        <is>
          <t>[검증필요: 개정 국기법 §47의4 조문과 부칙 적용례 원문 대조]</t>
        </is>
      </c>
      <c r="F125" s="16" t="inlineStr">
        <is>
          <t>국기법 §47의4 · 국기령 §27의4① · §27의4②</t>
        </is>
      </c>
      <c r="G125" s="16" t="inlineStr">
        <is>
          <t>개정 국기법 §47의4 조문과 부칙 적용례 원문 대조. → 부분 확인: 국기령 §27의4①(법정납부기한~고지일 전날 1일 10만분의 22 존치)와 §27의4②(지정납부기한~납부일 전날 월 1만분의 67, 2026.7.1. 시행)의 구간 분리는 원문 확정 — 폐지가 아니다. 부칙 적용례(2026.7.1. 이후 지정납부기한 도래분부터)는 2차 출처 — 원문 미확정, 유지. 출처 verify_가업상속_추징률_이자상당액.md 확정 3.</t>
        </is>
      </c>
      <c r="H125" s="16" t="inlineStr">
        <is>
          <t>23_신고와_납부.md L28</t>
        </is>
      </c>
      <c r="I125" s="4" t="inlineStr">
        <is>
          <t>확인중</t>
        </is>
      </c>
      <c r="J125" s="16" t="inlineStr"/>
      <c r="K125" s="16" t="inlineStr"/>
      <c r="L125" s="15" t="inlineStr"/>
      <c r="M125" s="17" t="inlineStr"/>
      <c r="N125" s="16" t="inlineStr">
        <is>
          <t>verify로 근거 일부 확보, 항목은 유지</t>
        </is>
      </c>
      <c r="O125" s="18" t="inlineStr">
        <is>
          <t>23|L0028|1</t>
        </is>
      </c>
      <c r="P125" s="18" t="inlineStr">
        <is>
          <t>확인중</t>
        </is>
      </c>
    </row>
    <row r="126">
      <c r="A126" s="2" t="n">
        <v>125</v>
      </c>
      <c r="B126" s="2" t="n">
        <v>23</v>
      </c>
      <c r="C126" s="3" t="inlineStr">
        <is>
          <t>23.2 가산세</t>
        </is>
      </c>
      <c r="D126" s="2" t="inlineStr">
        <is>
          <t>🟡 중요</t>
        </is>
      </c>
      <c r="E126" s="3" t="inlineStr">
        <is>
          <t>[검증필요: 세부 문구]</t>
        </is>
      </c>
      <c r="F126" s="3" t="inlineStr">
        <is>
          <t>국기법 §47의3④</t>
        </is>
      </c>
      <c r="G126" s="3" t="inlineStr">
        <is>
          <t>국기법 §47의3④(평가가액 차이·공제 착오 시 과소신고가산세 배제)의 세부 문구. "납부지연가산세는 면제되지 않는다"는 실무 통설의 근거도 함께.</t>
        </is>
      </c>
      <c r="H126" s="3" t="inlineStr">
        <is>
          <t>23_신고와_납부.md L32</t>
        </is>
      </c>
      <c r="I126" s="4" t="inlineStr">
        <is>
          <t>미확인</t>
        </is>
      </c>
      <c r="J126" s="3" t="inlineStr"/>
      <c r="K126" s="3" t="inlineStr"/>
      <c r="L126" s="2" t="inlineStr"/>
      <c r="M126" s="5" t="inlineStr"/>
      <c r="N126" s="3" t="inlineStr"/>
      <c r="O126" s="6" t="inlineStr">
        <is>
          <t>23|L0032|1</t>
        </is>
      </c>
      <c r="P126" s="6" t="inlineStr">
        <is>
          <t>미확인</t>
        </is>
      </c>
    </row>
    <row r="127">
      <c r="A127" s="2" t="n">
        <v>126</v>
      </c>
      <c r="B127" s="2" t="n">
        <v>23</v>
      </c>
      <c r="C127" s="3" t="inlineStr">
        <is>
          <t>23.4 신고서와 서류</t>
        </is>
      </c>
      <c r="D127" s="2" t="inlineStr">
        <is>
          <t>🟡 중요</t>
        </is>
      </c>
      <c r="E127" s="3" t="inlineStr">
        <is>
          <t>[검증필요: 연대납세의무 조문·책임 한도 원문 대조]</t>
        </is>
      </c>
      <c r="F127" s="3" t="inlineStr"/>
      <c r="G127" s="3" t="inlineStr">
        <is>
          <t>연대납세의무 조문·책임 한도 원문 대조(받은 재산 한도). ※ 4장 L71과 동일 조문 계열 — 함께 처리.</t>
        </is>
      </c>
      <c r="H127" s="3" t="inlineStr">
        <is>
          <t>23_신고와_납부.md L84</t>
        </is>
      </c>
      <c r="I127" s="4" t="inlineStr">
        <is>
          <t>미확인</t>
        </is>
      </c>
      <c r="J127" s="3" t="inlineStr"/>
      <c r="K127" s="3" t="inlineStr"/>
      <c r="L127" s="2" t="inlineStr"/>
      <c r="M127" s="5" t="inlineStr"/>
      <c r="N127" s="3" t="inlineStr">
        <is>
          <t>※ 4장 L71과 동일 조문 계열 — 함께 처리</t>
        </is>
      </c>
      <c r="O127" s="6" t="inlineStr">
        <is>
          <t>23|L0084|1</t>
        </is>
      </c>
      <c r="P127" s="6" t="inlineStr">
        <is>
          <t>미확인</t>
        </is>
      </c>
    </row>
    <row r="128">
      <c r="A128" s="2" t="n">
        <v>127</v>
      </c>
      <c r="B128" s="2" t="n">
        <v>24</v>
      </c>
      <c r="C128" s="3" t="inlineStr">
        <is>
          <t>24.2 연부연납 (법 §71)</t>
        </is>
      </c>
      <c r="D128" s="2" t="inlineStr">
        <is>
          <t>🟡 중요</t>
        </is>
      </c>
      <c r="E128" s="3" t="inlineStr">
        <is>
          <t>[검증필요: 구간별 표현 조문 대조]</t>
        </is>
      </c>
      <c r="F128" s="3" t="inlineStr"/>
      <c r="G128" s="3" t="inlineStr">
        <is>
          <t>기간 구간별 표현의 조문 대조(일반 최장 10년 / 증여세 5년 / 가업상속재산 최장 20년 또는 10년 거치 10년).</t>
        </is>
      </c>
      <c r="H128" s="3" t="inlineStr">
        <is>
          <t>24_연부연납과_물납.md L18</t>
        </is>
      </c>
      <c r="I128" s="4" t="inlineStr">
        <is>
          <t>미확인</t>
        </is>
      </c>
      <c r="J128" s="3" t="inlineStr"/>
      <c r="K128" s="3" t="inlineStr"/>
      <c r="L128" s="2" t="inlineStr"/>
      <c r="M128" s="5" t="inlineStr"/>
      <c r="N128" s="3" t="inlineStr"/>
      <c r="O128" s="6" t="inlineStr">
        <is>
          <t>24|L0018|1</t>
        </is>
      </c>
      <c r="P128" s="6" t="inlineStr">
        <is>
          <t>미확인</t>
        </is>
      </c>
    </row>
    <row r="129">
      <c r="A129" s="15" t="n">
        <v>128</v>
      </c>
      <c r="B129" s="15" t="n">
        <v>24</v>
      </c>
      <c r="C129" s="16" t="inlineStr">
        <is>
          <t>24.2 연부연납</t>
        </is>
      </c>
      <c r="D129" s="15" t="inlineStr">
        <is>
          <t>🔴 최우선</t>
        </is>
      </c>
      <c r="E129" s="16" t="inlineStr">
        <is>
          <t>[검증필요: 2026 현재 고시율]</t>
        </is>
      </c>
      <c r="F129" s="16" t="inlineStr">
        <is>
          <t>국기칙 §19의3</t>
        </is>
      </c>
      <c r="G129" s="16" t="inlineStr">
        <is>
          <t>가산금 2026년 현재 고시율. → ✅ 검증 완료: 연 3.1%(국기칙 §19의3, 현행값 연 1천분의 31, 2025.3.21. 개정으로 3.5%→3.1%). 국세청 안내(2024.4)의 "3.5%"는 구 요율. 출처 verify_가업상속_추징률_이자상당액.md 확정 2. 각 회분 납부일 현재의 율로 변동 적용이라는 서술은 별도 확인. ※ 부록 G L251과 동일 건.</t>
        </is>
      </c>
      <c r="H129" s="16" t="inlineStr">
        <is>
          <t>24_연부연납과_물납.md L19</t>
        </is>
      </c>
      <c r="I129" s="4" t="inlineStr">
        <is>
          <t>확인완료</t>
        </is>
      </c>
      <c r="J129" s="16" t="inlineStr"/>
      <c r="K129" s="16" t="inlineStr"/>
      <c r="L129" s="15" t="inlineStr"/>
      <c r="M129" s="17" t="inlineStr"/>
      <c r="N129" s="16" t="inlineStr">
        <is>
          <t>verify_*.md 원문대조로 확정 — 남은 작업은 원고 마커 삭제 + 출처 각주 / ※ 부록 G L251과 동일 건</t>
        </is>
      </c>
      <c r="O129" s="18" t="inlineStr">
        <is>
          <t>24|L0019|1</t>
        </is>
      </c>
      <c r="P129" s="18" t="inlineStr">
        <is>
          <t>확인완료</t>
        </is>
      </c>
    </row>
    <row r="130">
      <c r="A130" s="2" t="n">
        <v>129</v>
      </c>
      <c r="B130" s="2" t="n">
        <v>24</v>
      </c>
      <c r="C130" s="3" t="inlineStr">
        <is>
          <t>24.2 연부연납</t>
        </is>
      </c>
      <c r="D130" s="2" t="inlineStr">
        <is>
          <t>🟡 중요</t>
        </is>
      </c>
      <c r="E130" s="3" t="inlineStr">
        <is>
          <t>[검증필요: 분할납부세액 산정 시행령 조항]</t>
        </is>
      </c>
      <c r="F130" s="3" t="inlineStr"/>
      <c r="G130" s="3" t="inlineStr">
        <is>
          <t>분할납부세액 산정의 시행령 조항(총 (기간+1)회 구조).</t>
        </is>
      </c>
      <c r="H130" s="3" t="inlineStr">
        <is>
          <t>24_연부연납과_물납.md L22</t>
        </is>
      </c>
      <c r="I130" s="4" t="inlineStr">
        <is>
          <t>미확인</t>
        </is>
      </c>
      <c r="J130" s="3" t="inlineStr"/>
      <c r="K130" s="3" t="inlineStr"/>
      <c r="L130" s="2" t="inlineStr"/>
      <c r="M130" s="5" t="inlineStr"/>
      <c r="N130" s="3" t="inlineStr"/>
      <c r="O130" s="6" t="inlineStr">
        <is>
          <t>24|L0022|1</t>
        </is>
      </c>
      <c r="P130" s="6" t="inlineStr">
        <is>
          <t>미확인</t>
        </is>
      </c>
    </row>
    <row r="131">
      <c r="A131" s="2" t="n">
        <v>130</v>
      </c>
      <c r="B131" s="2" t="n">
        <v>24</v>
      </c>
      <c r="C131" s="3" t="inlineStr">
        <is>
          <t>24.2 연부연납</t>
        </is>
      </c>
      <c r="D131" s="2" t="inlineStr">
        <is>
          <t>🟡 중요</t>
        </is>
      </c>
      <c r="E131" s="3" t="inlineStr">
        <is>
          <t>[검증필요: 조문 원문 대조]</t>
        </is>
      </c>
      <c r="F131" s="3" t="inlineStr"/>
      <c r="G131" s="3" t="inlineStr">
        <is>
          <t>가업상속재산 연부연납 기간의 조문 원문 대조(2023.1.1. 이후 상속분은 비율과 무관하게 20년 또는 10년 거치 10년 / 그 전 구간의 50% 기준). 현재 국세청 안내 기준.</t>
        </is>
      </c>
      <c r="H131" s="3" t="inlineStr">
        <is>
          <t>24_연부연납과_물납.md L24</t>
        </is>
      </c>
      <c r="I131" s="4" t="inlineStr">
        <is>
          <t>미확인</t>
        </is>
      </c>
      <c r="J131" s="3" t="inlineStr"/>
      <c r="K131" s="3" t="inlineStr"/>
      <c r="L131" s="2" t="inlineStr"/>
      <c r="M131" s="5" t="inlineStr"/>
      <c r="N131" s="3" t="inlineStr"/>
      <c r="O131" s="6" t="inlineStr">
        <is>
          <t>24|L0024|1</t>
        </is>
      </c>
      <c r="P131" s="6" t="inlineStr">
        <is>
          <t>미확인</t>
        </is>
      </c>
    </row>
    <row r="132">
      <c r="A132" s="2" t="n">
        <v>131</v>
      </c>
      <c r="B132" s="2" t="n">
        <v>24</v>
      </c>
      <c r="C132" s="3" t="inlineStr">
        <is>
          <t>24.4 신청 타임라인과 담보</t>
        </is>
      </c>
      <c r="D132" s="2" t="inlineStr">
        <is>
          <t>🟡 중요</t>
        </is>
      </c>
      <c r="E132" s="3" t="inlineStr">
        <is>
          <t>[검증필요: 담보 종류의 근거 법률(국세징수법)·조문번호 대조]</t>
        </is>
      </c>
      <c r="F132" s="3" t="inlineStr"/>
      <c r="G132" s="3" t="inlineStr">
        <is>
          <t>담보 종류의 근거 법률(국세징수법)·조문번호 대조.</t>
        </is>
      </c>
      <c r="H132" s="3" t="inlineStr">
        <is>
          <t>24_연부연납과_물납.md L65</t>
        </is>
      </c>
      <c r="I132" s="4" t="inlineStr">
        <is>
          <t>미확인</t>
        </is>
      </c>
      <c r="J132" s="3" t="inlineStr"/>
      <c r="K132" s="3" t="inlineStr"/>
      <c r="L132" s="2" t="inlineStr"/>
      <c r="M132" s="5" t="inlineStr"/>
      <c r="N132" s="3" t="inlineStr"/>
      <c r="O132" s="6" t="inlineStr">
        <is>
          <t>24|L0065|1</t>
        </is>
      </c>
      <c r="P132" s="6" t="inlineStr">
        <is>
          <t>미확인</t>
        </is>
      </c>
    </row>
    <row r="133">
      <c r="A133" s="7" t="n">
        <v>132</v>
      </c>
      <c r="B133" s="7" t="n">
        <v>24</v>
      </c>
      <c r="C133" s="8" t="inlineStr">
        <is>
          <t>24.7 자주 묻는 질문</t>
        </is>
      </c>
      <c r="D133" s="7" t="inlineStr">
        <is>
          <t>🟢 보완</t>
        </is>
      </c>
      <c r="E133" s="8" t="inlineStr">
        <is>
          <t>[검증필요: 잔여세액 일시 납부의 서식·통지 절차]</t>
        </is>
      </c>
      <c r="F133" s="8" t="inlineStr"/>
      <c r="G133" s="8" t="inlineStr">
        <is>
          <t>잔여세액 일시 납부의 서식·통지 절차.</t>
        </is>
      </c>
      <c r="H133" s="8" t="inlineStr">
        <is>
          <t>24_연부연납과_물납.md L145</t>
        </is>
      </c>
      <c r="I133" s="4" t="inlineStr">
        <is>
          <t>미확인</t>
        </is>
      </c>
      <c r="J133" s="8" t="inlineStr"/>
      <c r="K133" s="8" t="inlineStr"/>
      <c r="L133" s="7" t="inlineStr"/>
      <c r="M133" s="9" t="inlineStr"/>
      <c r="N133" s="8" t="inlineStr"/>
      <c r="O133" s="10" t="inlineStr">
        <is>
          <t>24|L0145|1</t>
        </is>
      </c>
      <c r="P133" s="10" t="inlineStr">
        <is>
          <t>미확인</t>
        </is>
      </c>
    </row>
    <row r="134">
      <c r="A134" s="2" t="n">
        <v>133</v>
      </c>
      <c r="B134" s="2" t="n">
        <v>24</v>
      </c>
      <c r="C134" s="3" t="inlineStr">
        <is>
          <t>24.7 자주 묻는 질문</t>
        </is>
      </c>
      <c r="D134" s="2" t="inlineStr">
        <is>
          <t>🟡 중요</t>
        </is>
      </c>
      <c r="E134" s="3" t="inlineStr">
        <is>
          <t>[검증필요: 두 제도의 가업상속재산 정의 조문 대조]</t>
        </is>
      </c>
      <c r="F134" s="3" t="inlineStr"/>
      <c r="G134" s="3" t="inlineStr">
        <is>
          <t>가업상속공제와 연부연납, 두 제도의 "가업상속재산" 정의 조문 대조(요건이 각각이라는 결론의 근거).</t>
        </is>
      </c>
      <c r="H134" s="3" t="inlineStr">
        <is>
          <t>24_연부연납과_물납.md L151</t>
        </is>
      </c>
      <c r="I134" s="4" t="inlineStr">
        <is>
          <t>미확인</t>
        </is>
      </c>
      <c r="J134" s="3" t="inlineStr"/>
      <c r="K134" s="3" t="inlineStr"/>
      <c r="L134" s="2" t="inlineStr"/>
      <c r="M134" s="5" t="inlineStr"/>
      <c r="N134" s="3" t="inlineStr"/>
      <c r="O134" s="6" t="inlineStr">
        <is>
          <t>24|L0151|1</t>
        </is>
      </c>
      <c r="P134" s="6" t="inlineStr">
        <is>
          <t>미확인</t>
        </is>
      </c>
    </row>
    <row r="135">
      <c r="A135" s="15" t="n">
        <v>134</v>
      </c>
      <c r="B135" s="15" t="n">
        <v>25</v>
      </c>
      <c r="C135" s="16" t="inlineStr">
        <is>
          <t>25.2 법령 근거</t>
        </is>
      </c>
      <c r="D135" s="15" t="inlineStr">
        <is>
          <t>🔴 최우선</t>
        </is>
      </c>
      <c r="E135" s="16" t="inlineStr">
        <is>
          <t>[검증필요: 개정 국기법 §47의4·시행령 월율 원문 대조]</t>
        </is>
      </c>
      <c r="F135" s="16" t="inlineStr">
        <is>
          <t>국기법 §47의4 · 국기령 §27의4②</t>
        </is>
      </c>
      <c r="G135" s="16" t="inlineStr">
        <is>
          <t>개정 국기법 §47의4·시행령 월율 원문 대조. → ✅ 검증 완료: 국기령 §27의4②(신설) 월 1만분의 67, 2026.7.1. 시행·현재 시행 중. 법정납부기한~납부고지일 구간은 종전대로 1일 10만분의 22(구간 분리이지 폐지가 아님). 출처 verify_가업상속_추징률_이자상당액.md 확정 3. 잔여: 국기법 2025.12.23. 개정 부칙 적용례 원문(23장 L28과 동일). 남은 작업은 원고 마커 삭제 + 출처 각주.</t>
        </is>
      </c>
      <c r="H135" s="16" t="inlineStr">
        <is>
          <t>25_결정경정과_세무조사.md L49</t>
        </is>
      </c>
      <c r="I135" s="4" t="inlineStr">
        <is>
          <t>확인완료</t>
        </is>
      </c>
      <c r="J135" s="16" t="inlineStr"/>
      <c r="K135" s="16" t="inlineStr"/>
      <c r="L135" s="15" t="inlineStr"/>
      <c r="M135" s="17" t="inlineStr"/>
      <c r="N135" s="16" t="inlineStr">
        <is>
          <t>verify_*.md 원문대조로 확정 — 남은 작업은 원고 마커 삭제 + 출처 각주</t>
        </is>
      </c>
      <c r="O135" s="18" t="inlineStr">
        <is>
          <t>25|L0049|1</t>
        </is>
      </c>
      <c r="P135" s="18" t="inlineStr">
        <is>
          <t>확인완료</t>
        </is>
      </c>
    </row>
    <row r="136">
      <c r="A136" s="7" t="n">
        <v>135</v>
      </c>
      <c r="B136" s="7" t="n">
        <v>25</v>
      </c>
      <c r="C136" s="8" t="inlineStr">
        <is>
          <t>25.6 자주 묻는 질문</t>
        </is>
      </c>
      <c r="D136" s="7" t="inlineStr">
        <is>
          <t>🟢 보완</t>
        </is>
      </c>
      <c r="E136" s="8" t="inlineStr">
        <is>
          <t>[검증필요: 조사 대상 선정 기준의 공개 근거]</t>
        </is>
      </c>
      <c r="F136" s="8" t="inlineStr">
        <is>
          <t>법 §76⑤</t>
        </is>
      </c>
      <c r="G136" s="8" t="inlineStr">
        <is>
          <t>조사 대상 선정 기준의 공개 근거. 법이 직접 정한 것은 30억원 이상 결정 건의 5년 사후관리(법 §76⑤)뿐이고 나머지는 내부 기준이라 조문 특정 불가 — 이 한계 서술이 유지되는지 확인.</t>
        </is>
      </c>
      <c r="H136" s="8" t="inlineStr">
        <is>
          <t>25_결정경정과_세무조사.md L126</t>
        </is>
      </c>
      <c r="I136" s="4" t="inlineStr">
        <is>
          <t>미확인</t>
        </is>
      </c>
      <c r="J136" s="8" t="inlineStr"/>
      <c r="K136" s="8" t="inlineStr"/>
      <c r="L136" s="7" t="inlineStr"/>
      <c r="M136" s="9" t="inlineStr"/>
      <c r="N136" s="8" t="inlineStr"/>
      <c r="O136" s="10" t="inlineStr">
        <is>
          <t>25|L0126|1</t>
        </is>
      </c>
      <c r="P136" s="10" t="inlineStr">
        <is>
          <t>미확인</t>
        </is>
      </c>
    </row>
    <row r="137">
      <c r="A137" s="2" t="n">
        <v>136</v>
      </c>
      <c r="B137" s="2" t="n">
        <v>26</v>
      </c>
      <c r="C137" s="3" t="inlineStr">
        <is>
          <t>26.2 주식 보유한도의 3단 구조</t>
        </is>
      </c>
      <c r="D137" s="2" t="inlineStr">
        <is>
          <t>🟡 중요</t>
        </is>
      </c>
      <c r="E137" s="3" t="inlineStr">
        <is>
          <t>[검증필요: §16②·§48① 세부 요건 원문 — 구 '성실공익법인' 용어는 2021년 개편으로 폐지, 요건 충족 공익법인 체계로 전환. 개정 잦은 조문이므로 집필·개정판마다 재확인]</t>
        </is>
      </c>
      <c r="F137" s="3" t="inlineStr">
        <is>
          <t>§16② · §48①</t>
        </is>
      </c>
      <c r="G137" s="3" t="inlineStr">
        <is>
          <t>§16②·§48① 세부 요건 원문. 구 '성실공익법인' 용어는 2021년 개편으로 폐지, 요건 충족 공익법인 체계로 전환. 개정이 잦은 조문이므로 집필·개정판마다 재확인. ※ 7장 L72(5·10·20% 비율)와 함께 처리.</t>
        </is>
      </c>
      <c r="H137" s="3" t="inlineStr">
        <is>
          <t>26_공익법인_출연재산.md L27</t>
        </is>
      </c>
      <c r="I137" s="4" t="inlineStr">
        <is>
          <t>미확인</t>
        </is>
      </c>
      <c r="J137" s="3" t="inlineStr"/>
      <c r="K137" s="3" t="inlineStr"/>
      <c r="L137" s="2" t="inlineStr"/>
      <c r="M137" s="5" t="inlineStr"/>
      <c r="N137" s="3" t="inlineStr">
        <is>
          <t>※ 7장 L72(5·10·20% 비율)와 함께 처리</t>
        </is>
      </c>
      <c r="O137" s="6" t="inlineStr">
        <is>
          <t>26|L0027|1</t>
        </is>
      </c>
      <c r="P137" s="6" t="inlineStr">
        <is>
          <t>미확인</t>
        </is>
      </c>
    </row>
    <row r="138">
      <c r="A138" s="2" t="n">
        <v>137</v>
      </c>
      <c r="B138" s="2" t="n">
        <v>26</v>
      </c>
      <c r="C138" s="3" t="inlineStr">
        <is>
          <t>26.2 주식 보유한도의 3단 구조</t>
        </is>
      </c>
      <c r="D138" s="2" t="inlineStr">
        <is>
          <t>🟡 중요</t>
        </is>
      </c>
      <c r="E138" s="3" t="inlineStr">
        <is>
          <t>[검증필요: §48⑨ 원문]</t>
        </is>
      </c>
      <c r="F138" s="3" t="inlineStr">
        <is>
          <t>§48⑨</t>
        </is>
      </c>
      <c r="G138" s="3" t="inlineStr">
        <is>
          <t>§48⑨ 원문(계열기업 주식 30% 한도 — 운영 단계의 가산세이며 출연 단계의 과세가액 산입(본세)과 다른 제도).</t>
        </is>
      </c>
      <c r="H138" s="3" t="inlineStr">
        <is>
          <t>26_공익법인_출연재산.md L33</t>
        </is>
      </c>
      <c r="I138" s="4" t="inlineStr">
        <is>
          <t>미확인</t>
        </is>
      </c>
      <c r="J138" s="3" t="inlineStr"/>
      <c r="K138" s="3" t="inlineStr"/>
      <c r="L138" s="2" t="inlineStr"/>
      <c r="M138" s="5" t="inlineStr"/>
      <c r="N138" s="3" t="inlineStr"/>
      <c r="O138" s="6" t="inlineStr">
        <is>
          <t>26|L0033|1</t>
        </is>
      </c>
      <c r="P138" s="6" t="inlineStr">
        <is>
          <t>미확인</t>
        </is>
      </c>
    </row>
    <row r="139">
      <c r="A139" s="15" t="n">
        <v>138</v>
      </c>
      <c r="B139" s="15" t="n">
        <v>26</v>
      </c>
      <c r="C139" s="16" t="inlineStr">
        <is>
          <t>26.3 사후관리 의무 총괄</t>
        </is>
      </c>
      <c r="D139" s="15" t="inlineStr">
        <is>
          <t>🔴 최우선</t>
        </is>
      </c>
      <c r="E139" s="16" t="inlineStr">
        <is>
          <t>[검증필요: 외부감사 규모 기준액·전용계좌 가산세 산식]</t>
        </is>
      </c>
      <c r="F139" s="16" t="inlineStr">
        <is>
          <t>§16 · §48 · §50 · §78 · §38</t>
        </is>
      </c>
      <c r="G139" s="16" t="inlineStr">
        <is>
          <t>외부감사 규모 기준액·전용계좌 가산세 산식. 금액·산식이므로 최우선. (출처 표기: law.go.kr §16·§48·§50·§78·령 §38, 국세청 공익법인 의무 안내 — 2026-08-13)</t>
        </is>
      </c>
      <c r="H139" s="16" t="inlineStr">
        <is>
          <t>26_공익법인_출연재산.md L60</t>
        </is>
      </c>
      <c r="I139" s="4" t="inlineStr">
        <is>
          <t>미확인</t>
        </is>
      </c>
      <c r="J139" s="16" t="inlineStr"/>
      <c r="K139" s="16" t="inlineStr"/>
      <c r="L139" s="15" t="inlineStr"/>
      <c r="M139" s="17" t="inlineStr"/>
      <c r="N139" s="16" t="inlineStr"/>
      <c r="O139" s="18" t="inlineStr">
        <is>
          <t>26|L0060|1</t>
        </is>
      </c>
      <c r="P139" s="18" t="inlineStr">
        <is>
          <t>미확인</t>
        </is>
      </c>
    </row>
    <row r="140">
      <c r="A140" s="7" t="n">
        <v>139</v>
      </c>
      <c r="B140" s="7" t="n">
        <v>26</v>
      </c>
      <c r="C140" s="8" t="inlineStr">
        <is>
          <t>26.6 자주 묻는 질문</t>
        </is>
      </c>
      <c r="D140" s="7" t="inlineStr">
        <is>
          <t>🟢 보완</t>
        </is>
      </c>
      <c r="E140" s="8" t="inlineStr">
        <is>
          <t>[검증필요: 종교단체 세무확인·보고서 면제 — 단일 출처]</t>
        </is>
      </c>
      <c r="F140" s="8" t="inlineStr"/>
      <c r="G140" s="8" t="inlineStr">
        <is>
          <t>종교단체의 세무확인·보고서 면제 범위 — 단일 출처. 결산서류 공시·전용계좌·외부 회계감사 제외 여부를 복수 출처로 보강하거나 단정을 완화할 것.</t>
        </is>
      </c>
      <c r="H140" s="8" t="inlineStr">
        <is>
          <t>26_공익법인_출연재산.md L104</t>
        </is>
      </c>
      <c r="I140" s="4" t="inlineStr">
        <is>
          <t>미확인</t>
        </is>
      </c>
      <c r="J140" s="8" t="inlineStr"/>
      <c r="K140" s="8" t="inlineStr"/>
      <c r="L140" s="7" t="inlineStr"/>
      <c r="M140" s="9" t="inlineStr"/>
      <c r="N140" s="8" t="inlineStr"/>
      <c r="O140" s="10" t="inlineStr">
        <is>
          <t>26|L0104|1</t>
        </is>
      </c>
      <c r="P140" s="10" t="inlineStr">
        <is>
          <t>미확인</t>
        </is>
      </c>
    </row>
    <row r="141">
      <c r="A141" s="15" t="n">
        <v>140</v>
      </c>
      <c r="B141" s="15" t="n">
        <v>27</v>
      </c>
      <c r="C141" s="16" t="inlineStr">
        <is>
          <t>27.2 취득세 (지방세법)</t>
        </is>
      </c>
      <c r="D141" s="15" t="inlineStr">
        <is>
          <t>🔴 최우선</t>
        </is>
      </c>
      <c r="E141" s="16" t="inlineStr">
        <is>
          <t>[검증필요: 조정지역 범위]</t>
        </is>
      </c>
      <c r="F141" s="16" t="inlineStr"/>
      <c r="G141" s="16" t="inlineStr">
        <is>
          <t>조정대상지역 범위. 증여 취득세 12% 중과의 전제. ※ 17장 L51·L64와 동일 사실 — 한 번에 처리.</t>
        </is>
      </c>
      <c r="H141" s="16" t="inlineStr">
        <is>
          <t>27_다른_세금과의_관계.md L31</t>
        </is>
      </c>
      <c r="I141" s="4" t="inlineStr">
        <is>
          <t>미확인</t>
        </is>
      </c>
      <c r="J141" s="16" t="inlineStr"/>
      <c r="K141" s="16" t="inlineStr"/>
      <c r="L141" s="15" t="inlineStr"/>
      <c r="M141" s="17" t="inlineStr"/>
      <c r="N141" s="16" t="inlineStr">
        <is>
          <t>※ 17장 L51·L64와 동일 사실 — 한 번에 처리</t>
        </is>
      </c>
      <c r="O141" s="18" t="inlineStr">
        <is>
          <t>27|L0031|1</t>
        </is>
      </c>
      <c r="P141" s="18" t="inlineStr">
        <is>
          <t>미확인</t>
        </is>
      </c>
    </row>
    <row r="142">
      <c r="A142" s="2" t="n">
        <v>141</v>
      </c>
      <c r="B142" s="2" t="n">
        <v>27</v>
      </c>
      <c r="C142" s="3" t="inlineStr">
        <is>
          <t>27.2 취득세</t>
        </is>
      </c>
      <c r="D142" s="2" t="inlineStr">
        <is>
          <t>🟡 중요</t>
        </is>
      </c>
      <c r="E142" s="3" t="inlineStr">
        <is>
          <t>[검증필요 — 무주택 가구·주택 수 판정의 세부 요건]</t>
        </is>
      </c>
      <c r="F142" s="3" t="inlineStr"/>
      <c r="G142" s="3" t="inlineStr">
        <is>
          <t>무주택 가구의 1주택 상속 0.8% 특례 — 가구·주택 수 판정의 세부 요건.</t>
        </is>
      </c>
      <c r="H142" s="3" t="inlineStr">
        <is>
          <t>27_다른_세금과의_관계.md L39</t>
        </is>
      </c>
      <c r="I142" s="4" t="inlineStr">
        <is>
          <t>미확인</t>
        </is>
      </c>
      <c r="J142" s="3" t="inlineStr"/>
      <c r="K142" s="3" t="inlineStr"/>
      <c r="L142" s="2" t="inlineStr"/>
      <c r="M142" s="5" t="inlineStr"/>
      <c r="N142" s="3" t="inlineStr"/>
      <c r="O142" s="6" t="inlineStr">
        <is>
          <t>27|L0039|1</t>
        </is>
      </c>
      <c r="P142" s="6" t="inlineStr">
        <is>
          <t>미확인</t>
        </is>
      </c>
    </row>
    <row r="143">
      <c r="A143" s="15" t="n">
        <v>142</v>
      </c>
      <c r="B143" s="15" t="n">
        <v>27</v>
      </c>
      <c r="C143" s="16" t="inlineStr">
        <is>
          <t>27.2 취득세</t>
        </is>
      </c>
      <c r="D143" s="15" t="inlineStr">
        <is>
          <t>🔴 최우선</t>
        </is>
      </c>
      <c r="E143" s="16" t="inlineStr">
        <is>
          <t>[검증필요 — 취득세 부가세목의 종류·세율]</t>
        </is>
      </c>
      <c r="F143" s="16" t="inlineStr"/>
      <c r="G143" s="16" t="inlineStr">
        <is>
          <t>취득세 부가세목의 종류·세율(지방교육세 등). 원고 사례가 부가세목을 제외하고 계산하므로 실제 부담과의 차이를 명시하려면 수치가 필요.</t>
        </is>
      </c>
      <c r="H143" s="16" t="inlineStr">
        <is>
          <t>27_다른_세금과의_관계.md L41</t>
        </is>
      </c>
      <c r="I143" s="4" t="inlineStr">
        <is>
          <t>미확인</t>
        </is>
      </c>
      <c r="J143" s="16" t="inlineStr"/>
      <c r="K143" s="16" t="inlineStr"/>
      <c r="L143" s="15" t="inlineStr"/>
      <c r="M143" s="17" t="inlineStr"/>
      <c r="N143" s="16" t="inlineStr"/>
      <c r="O143" s="18" t="inlineStr">
        <is>
          <t>27|L0041|1</t>
        </is>
      </c>
      <c r="P143" s="18" t="inlineStr">
        <is>
          <t>미확인</t>
        </is>
      </c>
    </row>
    <row r="144">
      <c r="A144" s="7" t="n">
        <v>143</v>
      </c>
      <c r="B144" s="7" t="n">
        <v>27</v>
      </c>
      <c r="C144" s="8" t="inlineStr">
        <is>
          <t>27.2 취득세</t>
        </is>
      </c>
      <c r="D144" s="7" t="inlineStr">
        <is>
          <t>🟢 보완</t>
        </is>
      </c>
      <c r="E144" s="8" t="inlineStr">
        <is>
          <t>[검증필요 — 취득세 분할납부·납기 연장 제도의 유무]</t>
        </is>
      </c>
      <c r="F144" s="8" t="inlineStr"/>
      <c r="G144" s="8" t="inlineStr">
        <is>
          <t>취득세 분할납부·납기 연장 제도의 유무.</t>
        </is>
      </c>
      <c r="H144" s="8" t="inlineStr">
        <is>
          <t>27_다른_세금과의_관계.md L53</t>
        </is>
      </c>
      <c r="I144" s="4" t="inlineStr">
        <is>
          <t>미확인</t>
        </is>
      </c>
      <c r="J144" s="8" t="inlineStr"/>
      <c r="K144" s="8" t="inlineStr"/>
      <c r="L144" s="7" t="inlineStr"/>
      <c r="M144" s="9" t="inlineStr"/>
      <c r="N144" s="8" t="inlineStr"/>
      <c r="O144" s="10" t="inlineStr">
        <is>
          <t>27|L0053|1</t>
        </is>
      </c>
      <c r="P144" s="10" t="inlineStr">
        <is>
          <t>미확인</t>
        </is>
      </c>
    </row>
    <row r="145">
      <c r="A145" s="2" t="n">
        <v>144</v>
      </c>
      <c r="B145" s="2" t="n">
        <v>27</v>
      </c>
      <c r="C145" s="3" t="inlineStr">
        <is>
          <t>27.3 양도소득세: 이월과세와 취득가액</t>
        </is>
      </c>
      <c r="D145" s="2" t="inlineStr">
        <is>
          <t>🟡 중요</t>
        </is>
      </c>
      <c r="E145" s="3" t="inlineStr">
        <is>
          <t>[검증필요 — 부당행위계산 부인의 조문번호·기간 요건·기납부 증여세의 처리]</t>
        </is>
      </c>
      <c r="F145" s="3" t="inlineStr"/>
      <c r="G145" s="3" t="inlineStr">
        <is>
          <t>부당행위계산 부인의 조문번호·기간 요건·기납부 증여세의 처리. ※ 16장 L62와 연동(시가 5% 기준).</t>
        </is>
      </c>
      <c r="H145" s="3" t="inlineStr">
        <is>
          <t>27_다른_세금과의_관계.md L69</t>
        </is>
      </c>
      <c r="I145" s="4" t="inlineStr">
        <is>
          <t>미확인</t>
        </is>
      </c>
      <c r="J145" s="3" t="inlineStr"/>
      <c r="K145" s="3" t="inlineStr"/>
      <c r="L145" s="2" t="inlineStr"/>
      <c r="M145" s="5" t="inlineStr"/>
      <c r="N145" s="3" t="inlineStr">
        <is>
          <t>※ 16장 L62와 연동(시가 5% 기준)</t>
        </is>
      </c>
      <c r="O145" s="6" t="inlineStr">
        <is>
          <t>27|L0069|1</t>
        </is>
      </c>
      <c r="P145" s="6" t="inlineStr">
        <is>
          <t>미확인</t>
        </is>
      </c>
    </row>
    <row r="146">
      <c r="A146" s="2" t="n">
        <v>145</v>
      </c>
      <c r="B146" s="2" t="n">
        <v>27</v>
      </c>
      <c r="C146" s="3" t="inlineStr">
        <is>
          <t>27.4 종부세·재산세</t>
        </is>
      </c>
      <c r="D146" s="2" t="inlineStr">
        <is>
          <t>🟡 중요</t>
        </is>
      </c>
      <c r="E146" s="3" t="inlineStr">
        <is>
          <t>[검증필요 — 미등기 상속재산의 재산세 납세의무자 판정 규정]</t>
        </is>
      </c>
      <c r="F146" s="3" t="inlineStr">
        <is>
          <t>지방세법 §114</t>
        </is>
      </c>
      <c r="G146" s="3" t="inlineStr">
        <is>
          <t>미등기 상속재산의 재산세 납세의무자 판정 규정. (과세기준일 6.1.·지방세법 §114는 확인됨)</t>
        </is>
      </c>
      <c r="H146" s="3" t="inlineStr">
        <is>
          <t>27_다른_세금과의_관계.md L95</t>
        </is>
      </c>
      <c r="I146" s="4" t="inlineStr">
        <is>
          <t>미확인</t>
        </is>
      </c>
      <c r="J146" s="3" t="inlineStr"/>
      <c r="K146" s="3" t="inlineStr"/>
      <c r="L146" s="2" t="inlineStr"/>
      <c r="M146" s="5" t="inlineStr"/>
      <c r="N146" s="3" t="inlineStr"/>
      <c r="O146" s="6" t="inlineStr">
        <is>
          <t>27|L0095|1</t>
        </is>
      </c>
      <c r="P146" s="6" t="inlineStr">
        <is>
          <t>미확인</t>
        </is>
      </c>
    </row>
    <row r="147">
      <c r="A147" s="2" t="n">
        <v>146</v>
      </c>
      <c r="B147" s="2" t="n">
        <v>27</v>
      </c>
      <c r="C147" s="3" t="inlineStr">
        <is>
          <t>27.5 세목별 신고기한 총괄</t>
        </is>
      </c>
      <c r="D147" s="2" t="inlineStr">
        <is>
          <t>🟡 중요</t>
        </is>
      </c>
      <c r="E147" s="3" t="inlineStr">
        <is>
          <t>[검증필요 — 예정신고·확정신고 기한]</t>
        </is>
      </c>
      <c r="F147" s="3" t="inlineStr"/>
      <c r="G147" s="3" t="inlineStr">
        <is>
          <t>양도소득세 예정신고·확정신고 기한. 표의 빈 칸 — 채우지 못하면 행 자체를 재구성할 것.</t>
        </is>
      </c>
      <c r="H147" s="3" t="inlineStr">
        <is>
          <t>27_다른_세금과의_관계.md L109</t>
        </is>
      </c>
      <c r="I147" s="4" t="inlineStr">
        <is>
          <t>미확인</t>
        </is>
      </c>
      <c r="J147" s="3" t="inlineStr"/>
      <c r="K147" s="3" t="inlineStr"/>
      <c r="L147" s="2" t="inlineStr"/>
      <c r="M147" s="5" t="inlineStr"/>
      <c r="N147" s="3" t="inlineStr"/>
      <c r="O147" s="6" t="inlineStr">
        <is>
          <t>27|L0109|1</t>
        </is>
      </c>
      <c r="P147" s="6" t="inlineStr">
        <is>
          <t>미확인</t>
        </is>
      </c>
    </row>
    <row r="148">
      <c r="A148" s="15" t="n">
        <v>147</v>
      </c>
      <c r="B148" s="15" t="n">
        <v>27</v>
      </c>
      <c r="C148" s="16" t="inlineStr">
        <is>
          <t>27.5 세목별 신고기한 총괄</t>
        </is>
      </c>
      <c r="D148" s="15" t="inlineStr">
        <is>
          <t>🔴 최우선</t>
        </is>
      </c>
      <c r="E148" s="16" t="inlineStr">
        <is>
          <t>[검증필요 — 지방세 무신고·납부지연 가산세율]</t>
        </is>
      </c>
      <c r="F148" s="16" t="inlineStr"/>
      <c r="G148" s="16" t="inlineStr">
        <is>
          <t>지방세 무신고·납부지연 가산세율. 국세 가산세와 별개로 붙는다는 경고의 실질 근거.</t>
        </is>
      </c>
      <c r="H148" s="16" t="inlineStr">
        <is>
          <t>27_다른_세금과의_관계.md L119</t>
        </is>
      </c>
      <c r="I148" s="4" t="inlineStr">
        <is>
          <t>미확인</t>
        </is>
      </c>
      <c r="J148" s="16" t="inlineStr"/>
      <c r="K148" s="16" t="inlineStr"/>
      <c r="L148" s="15" t="inlineStr"/>
      <c r="M148" s="17" t="inlineStr"/>
      <c r="N148" s="16" t="inlineStr"/>
      <c r="O148" s="18" t="inlineStr">
        <is>
          <t>27|L0119|1</t>
        </is>
      </c>
      <c r="P148" s="18" t="inlineStr">
        <is>
          <t>미확인</t>
        </is>
      </c>
    </row>
    <row r="149">
      <c r="A149" s="2" t="n">
        <v>148</v>
      </c>
      <c r="B149" s="2" t="n">
        <v>27</v>
      </c>
      <c r="C149" s="3" t="inlineStr">
        <is>
          <t>27.7 자주 묻는 질문</t>
        </is>
      </c>
      <c r="D149" s="2" t="inlineStr">
        <is>
          <t>🟡 중요</t>
        </is>
      </c>
      <c r="E149" s="3" t="inlineStr">
        <is>
          <t>[검증필요 — 양도세 상속주택 1세대1주택 특례의 요건]</t>
        </is>
      </c>
      <c r="F149" s="3" t="inlineStr">
        <is>
          <t>§4의2</t>
        </is>
      </c>
      <c r="G149" s="3" t="inlineStr">
        <is>
          <t>양도소득세 상속주택 1세대1주택 특례의 요건. 종부세 특례(종부세법 령 §4의2: 상속 후 5년 미경과 / 지분 40% 이하 / 지분 공시가 6억(비수도권 3억) 이하 중 하나)와 혼동하지 않도록 별도 확인.</t>
        </is>
      </c>
      <c r="H149" s="3" t="inlineStr">
        <is>
          <t>27_다른_세금과의_관계.md L198</t>
        </is>
      </c>
      <c r="I149" s="4" t="inlineStr">
        <is>
          <t>미확인</t>
        </is>
      </c>
      <c r="J149" s="3" t="inlineStr"/>
      <c r="K149" s="3" t="inlineStr"/>
      <c r="L149" s="2" t="inlineStr"/>
      <c r="M149" s="5" t="inlineStr"/>
      <c r="N149" s="3" t="inlineStr"/>
      <c r="O149" s="6" t="inlineStr">
        <is>
          <t>27|L0198|1</t>
        </is>
      </c>
      <c r="P149" s="6" t="inlineStr">
        <is>
          <t>미확인</t>
        </is>
      </c>
    </row>
    <row r="150">
      <c r="A150" s="2" t="n">
        <v>149</v>
      </c>
      <c r="B150" s="2" t="inlineStr">
        <is>
          <t>부록</t>
        </is>
      </c>
      <c r="C150" s="3" t="inlineStr">
        <is>
          <t>부록 G · 주요 기준금액 총괄표</t>
        </is>
      </c>
      <c r="D150" s="2" t="inlineStr">
        <is>
          <t>🟡 중요</t>
        </is>
      </c>
      <c r="E150" s="3" t="inlineStr">
        <is>
          <t>[검증필요 — 정부안 단계·입법 미완]</t>
        </is>
      </c>
      <c r="F150" s="3" t="inlineStr"/>
      <c r="G150" s="3" t="inlineStr">
        <is>
          <t>최대주주 할증 관련 "정부안 단계·입법 미완" 표기. → ✅ 검증 완료: 일률 20%가 2026-08-13 현재 유효하고, "50% 초과 시 30%"·"중소기업 10~15%"는 폐지된 구법. 2026 세제개편안도 20% 할증은 손대지 않았으며, 논의 중인 상장주식 평가특례의 "최소 30% 할증"은 별개 제도(2027.4.1. 이후분, 정부안 단계). 출처 verify_66조_할증평가_원문대조.md 확정 3. → 개정 감시로만 유지(§2).</t>
        </is>
      </c>
      <c r="H150" s="3" t="inlineStr">
        <is>
          <t>99_부록.md L241</t>
        </is>
      </c>
      <c r="I150" s="4" t="inlineStr">
        <is>
          <t>확인완료</t>
        </is>
      </c>
      <c r="J150" s="3" t="inlineStr"/>
      <c r="K150" s="3" t="inlineStr"/>
      <c r="L150" s="2" t="inlineStr"/>
      <c r="M150" s="5" t="inlineStr"/>
      <c r="N150" s="3" t="inlineStr">
        <is>
          <t>verify_*.md 원문대조로 확정 — 남은 작업은 원고 마커 삭제 + 출처 각주</t>
        </is>
      </c>
      <c r="O150" s="6" t="inlineStr">
        <is>
          <t>부록|L0241|1</t>
        </is>
      </c>
      <c r="P150" s="6" t="inlineStr">
        <is>
          <t>확인완료</t>
        </is>
      </c>
    </row>
    <row r="151">
      <c r="A151" s="15" t="n">
        <v>150</v>
      </c>
      <c r="B151" s="15" t="inlineStr">
        <is>
          <t>부록</t>
        </is>
      </c>
      <c r="C151" s="16" t="inlineStr">
        <is>
          <t>부록 G · 주요 기준금액 총괄표</t>
        </is>
      </c>
      <c r="D151" s="15" t="inlineStr">
        <is>
          <t>🔴 최우선</t>
        </is>
      </c>
      <c r="E151" s="16" t="inlineStr">
        <is>
          <t>[검증필요: 2026년 현재 고시율]</t>
        </is>
      </c>
      <c r="F151" s="16" t="inlineStr">
        <is>
          <t>국기칙 §19의3</t>
        </is>
      </c>
      <c r="G151" s="16" t="inlineStr">
        <is>
          <t>연부연납 가산금 2026년 현재 고시율. → ✅ 검증 완료: 연 3.1%(국기칙 §19의3, 2025.3.21. 개정). ※ 24장 L19와 동일 건 — 두 곳의 수치가 일치하는지 대조.</t>
        </is>
      </c>
      <c r="H151" s="16" t="inlineStr">
        <is>
          <t>99_부록.md L251</t>
        </is>
      </c>
      <c r="I151" s="4" t="inlineStr">
        <is>
          <t>확인완료</t>
        </is>
      </c>
      <c r="J151" s="16" t="inlineStr"/>
      <c r="K151" s="16" t="inlineStr"/>
      <c r="L151" s="15" t="inlineStr"/>
      <c r="M151" s="17" t="inlineStr"/>
      <c r="N151" s="16" t="inlineStr">
        <is>
          <t>verify_*.md 원문대조로 확정 — 남은 작업은 원고 마커 삭제 + 출처 각주 / ※ 24장 L19와 동일 건 — 두 곳의 수치가 일치하는지 대조</t>
        </is>
      </c>
      <c r="O151" s="18" t="inlineStr">
        <is>
          <t>부록|L0251|1</t>
        </is>
      </c>
      <c r="P151" s="18" t="inlineStr">
        <is>
          <t>확인완료</t>
        </is>
      </c>
    </row>
    <row r="152">
      <c r="A152" s="7" t="n">
        <v>151</v>
      </c>
      <c r="B152" s="7" t="inlineStr">
        <is>
          <t>부록</t>
        </is>
      </c>
      <c r="C152" s="8" t="inlineStr">
        <is>
          <t>부록 J · 참고 자료와 확인 경로</t>
        </is>
      </c>
      <c r="D152" s="7" t="inlineStr">
        <is>
          <t>🟢 보완</t>
        </is>
      </c>
      <c r="E152" s="8" t="inlineStr">
        <is>
          <t>[검증필요 — 이용 신청 절차·요청 파라미터의 현행 사양은 이용 시점 재확인]</t>
        </is>
      </c>
      <c r="F152" s="8" t="inlineStr"/>
      <c r="G152" s="8" t="inlineStr">
        <is>
          <t>law.go.kr 오픈API(DRF) 이용 신청 절차·요청 파라미터의 현행 사양 재확인. ※ 2장 L138과 동일 건.</t>
        </is>
      </c>
      <c r="H152" s="8" t="inlineStr">
        <is>
          <t>99_부록.md L407</t>
        </is>
      </c>
      <c r="I152" s="4" t="inlineStr">
        <is>
          <t>미확인</t>
        </is>
      </c>
      <c r="J152" s="8" t="inlineStr"/>
      <c r="K152" s="8" t="inlineStr"/>
      <c r="L152" s="7" t="inlineStr"/>
      <c r="M152" s="9" t="inlineStr"/>
      <c r="N152" s="8" t="inlineStr">
        <is>
          <t>※ 2장 L138과 동일 건</t>
        </is>
      </c>
      <c r="O152" s="10" t="inlineStr">
        <is>
          <t>부록|L0407|1</t>
        </is>
      </c>
      <c r="P152" s="10" t="inlineStr">
        <is>
          <t>미확인</t>
        </is>
      </c>
    </row>
    <row r="153">
      <c r="A153" s="11" t="n">
        <v>152</v>
      </c>
      <c r="B153" s="11" t="inlineStr">
        <is>
          <t>부록</t>
        </is>
      </c>
      <c r="C153" s="12" t="inlineStr">
        <is>
          <t>부록 K</t>
        </is>
      </c>
      <c r="D153" s="11" t="inlineStr">
        <is>
          <t>⚪ 표기</t>
        </is>
      </c>
      <c r="E153" s="12" t="inlineStr">
        <is>
          <t>[검증필요]</t>
        </is>
      </c>
      <c r="F153" s="12" t="inlineStr"/>
      <c r="G153" s="12" t="inlineStr">
        <is>
          <t>표기의 의미 설명("확정하지 못한 것은 확정하지 못했다고 적었다")</t>
        </is>
      </c>
      <c r="H153" s="12" t="inlineStr">
        <is>
          <t>99_부록.md L427</t>
        </is>
      </c>
      <c r="I153" s="4" t="inlineStr">
        <is>
          <t>해당없음</t>
        </is>
      </c>
      <c r="J153" s="12" t="inlineStr"/>
      <c r="K153" s="12" t="inlineStr"/>
      <c r="L153" s="11" t="inlineStr"/>
      <c r="M153" s="13" t="inlineStr"/>
      <c r="N153" s="12" t="inlineStr">
        <is>
          <t>마커 1/2 / 표기 설명·상호참조 — 원문 조회 대상 아님. 마커를 지우지 말 것</t>
        </is>
      </c>
      <c r="O153" s="14" t="inlineStr">
        <is>
          <t>부록|L0427|1</t>
        </is>
      </c>
      <c r="P153" s="14" t="inlineStr">
        <is>
          <t>해당없음</t>
        </is>
      </c>
    </row>
    <row r="154">
      <c r="A154" s="11" t="n">
        <v>153</v>
      </c>
      <c r="B154" s="11" t="inlineStr">
        <is>
          <t>부록</t>
        </is>
      </c>
      <c r="C154" s="12" t="inlineStr">
        <is>
          <t>부록 K</t>
        </is>
      </c>
      <c r="D154" s="11" t="inlineStr">
        <is>
          <t>⚪ 표기</t>
        </is>
      </c>
      <c r="E154" s="12" t="inlineStr">
        <is>
          <t>[검증필요]</t>
        </is>
      </c>
      <c r="F154" s="12" t="inlineStr"/>
      <c r="G154" s="12" t="inlineStr">
        <is>
          <t>표기의 의미 설명("확정하지 못한 것은 확정하지 못했다고 적었다")</t>
        </is>
      </c>
      <c r="H154" s="12" t="inlineStr">
        <is>
          <t>99_부록.md L427</t>
        </is>
      </c>
      <c r="I154" s="4" t="inlineStr">
        <is>
          <t>해당없음</t>
        </is>
      </c>
      <c r="J154" s="12" t="inlineStr"/>
      <c r="K154" s="12" t="inlineStr"/>
      <c r="L154" s="11" t="inlineStr"/>
      <c r="M154" s="13" t="inlineStr"/>
      <c r="N154" s="12" t="inlineStr">
        <is>
          <t>마커 2/2 / 표기 설명·상호참조 — 원문 조회 대상 아님. 마커를 지우지 말 것</t>
        </is>
      </c>
      <c r="O154" s="14" t="inlineStr">
        <is>
          <t>부록|L0427|2</t>
        </is>
      </c>
      <c r="P154" s="14" t="inlineStr">
        <is>
          <t>해당없음</t>
        </is>
      </c>
    </row>
    <row r="155">
      <c r="A155" s="11" t="n">
        <v>154</v>
      </c>
      <c r="B155" s="11" t="inlineStr">
        <is>
          <t>부록</t>
        </is>
      </c>
      <c r="C155" s="12" t="inlineStr">
        <is>
          <t>부록 K</t>
        </is>
      </c>
      <c r="D155" s="11" t="inlineStr">
        <is>
          <t>⚪ 표기</t>
        </is>
      </c>
      <c r="E155" s="12" t="inlineStr">
        <is>
          <t>[검증필요]</t>
        </is>
      </c>
      <c r="F155" s="12" t="inlineStr"/>
      <c r="G155" s="12" t="inlineStr">
        <is>
          <t>출판·개정 시 5단계 절차 중 "④ [검증필요] 항목의 전면 해소"</t>
        </is>
      </c>
      <c r="H155" s="12" t="inlineStr">
        <is>
          <t>99_부록.md L434</t>
        </is>
      </c>
      <c r="I155" s="4" t="inlineStr">
        <is>
          <t>해당없음</t>
        </is>
      </c>
      <c r="J155" s="12" t="inlineStr"/>
      <c r="K155" s="12" t="inlineStr"/>
      <c r="L155" s="11" t="inlineStr"/>
      <c r="M155" s="13" t="inlineStr"/>
      <c r="N155" s="12" t="inlineStr">
        <is>
          <t>표기 설명·상호참조 — 원문 조회 대상 아님. 마커를 지우지 말 것</t>
        </is>
      </c>
      <c r="O155" s="14" t="inlineStr">
        <is>
          <t>부록|L0434|1</t>
        </is>
      </c>
      <c r="P155" s="14" t="inlineStr">
        <is>
          <t>해당없음</t>
        </is>
      </c>
    </row>
  </sheetData>
  <autoFilter ref="A1:N155"/>
  <conditionalFormatting sqref="A2:N155">
    <cfRule type="expression" priority="1" dxfId="0">
      <formula>$I2="확인완료"</formula>
    </cfRule>
    <cfRule type="expression" priority="2" dxfId="1">
      <formula>$I2="수정필요"</formula>
    </cfRule>
  </conditionalFormatting>
  <dataValidations count="1">
    <dataValidation sqref="I2:I155" showDropDown="0" showInputMessage="0" showErrorMessage="0" allowBlank="1" errorTitle="상태 값 확인" error="목록에서 고르세요: 미확인 / 확인중 / 확인완료 / 수정필요 / 해당없음" promptTitle="상태" prompt="미확인 → 확인중 → 확인완료 / 원고 수정이 필요하면 수정필요" type="list">
      <formula1>"미확인,확인중,확인완료,수정필요,해당없음"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11" customWidth="1" min="8" max="8"/>
    <col width="11" customWidth="1" min="9" max="9"/>
    <col width="60" customWidth="1" min="10" max="10"/>
  </cols>
  <sheetData>
    <row r="1">
      <c r="A1" s="19" t="inlineStr">
        <is>
          <t>원문 대조 진행 현황</t>
        </is>
      </c>
    </row>
    <row r="2">
      <c r="A2" s="20" t="inlineStr">
        <is>
          <t>상태 열(① 작업표 I열)을 채우면 아래 수치·진행률이 자동으로 갱신된다.</t>
        </is>
      </c>
    </row>
    <row r="4">
      <c r="A4" s="21" t="inlineStr">
        <is>
          <t>■ 전체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</row>
    <row r="5">
      <c r="A5" s="23" t="inlineStr">
        <is>
          <t>총 등재 건수</t>
        </is>
      </c>
      <c r="C5" s="24">
        <f>COUNTA('① 작업표'!$A$2:$A$2000)</f>
        <v/>
      </c>
    </row>
    <row r="6">
      <c r="A6" s="23" t="inlineStr">
        <is>
          <t>확인완료</t>
        </is>
      </c>
      <c r="C6" s="24">
        <f>COUNTIF('① 작업표'!$I$2:$I$2000,"확인완료")</f>
        <v/>
      </c>
    </row>
    <row r="7">
      <c r="A7" s="23" t="inlineStr">
        <is>
          <t>확인중</t>
        </is>
      </c>
      <c r="C7" s="24">
        <f>COUNTIF('① 작업표'!$I$2:$I$2000,"확인중")</f>
        <v/>
      </c>
    </row>
    <row r="8">
      <c r="A8" s="23" t="inlineStr">
        <is>
          <t>미확인</t>
        </is>
      </c>
      <c r="C8" s="24">
        <f>COUNTIF('① 작업표'!$I$2:$I$2000,"미확인")</f>
        <v/>
      </c>
    </row>
    <row r="9">
      <c r="A9" s="23" t="inlineStr">
        <is>
          <t>수정필요</t>
        </is>
      </c>
      <c r="C9" s="24">
        <f>COUNTIF('① 작업표'!$I$2:$I$2000,"수정필요")</f>
        <v/>
      </c>
    </row>
    <row r="10">
      <c r="A10" s="23" t="inlineStr">
        <is>
          <t>해당없음(표기용)</t>
        </is>
      </c>
      <c r="C10" s="24">
        <f>COUNTIF('① 작업표'!$I$2:$I$2000,"해당없음")</f>
        <v/>
      </c>
    </row>
    <row r="11">
      <c r="A11" s="23" t="inlineStr">
        <is>
          <t>전체 진행률</t>
        </is>
      </c>
      <c r="C11" s="25">
        <f>IFERROR(COUNTIF('① 작업표'!$I$2:$I$2000,"확인완료")/(COUNTA('① 작업표'!$A$2:$A$2000)-COUNTIF('① 작업표'!$I$2:$I$2000,"해당없음")),"")</f>
        <v/>
      </c>
      <c r="J11" s="20" t="inlineStr">
        <is>
          <t>분모는 ⚪ 표기용 10건을 뺀 실제 검증 대상 기준</t>
        </is>
      </c>
    </row>
    <row r="12">
      <c r="A12" s="26" t="inlineStr">
        <is>
          <t>🔴 최우선 진행률</t>
        </is>
      </c>
      <c r="C12" s="25">
        <f>IFERROR(COUNTIFS('① 작업표'!$D$2:$D$2000,"🔴 최우선",'① 작업표'!$I$2:$I$2000,"확인완료")/COUNTIF('① 작업표'!$D$2:$D$2000,"🔴 최우선"),"")</f>
        <v/>
      </c>
      <c r="J12" s="26" t="inlineStr">
        <is>
          <t>🔴은 어떤 경우에도 미해소 상태로 출판하지 말 것 (체크리스트 §0.2)</t>
        </is>
      </c>
    </row>
    <row r="14">
      <c r="A14" s="21" t="inlineStr">
        <is>
          <t>■ 우선순위별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</row>
    <row r="15" ht="30" customHeight="1">
      <c r="A15" s="1" t="inlineStr">
        <is>
          <t>우선순위</t>
        </is>
      </c>
      <c r="B15" s="1" t="inlineStr">
        <is>
          <t>기준 — 틀렸을 때의 결과</t>
        </is>
      </c>
      <c r="C15" s="1" t="inlineStr">
        <is>
          <t>등재</t>
        </is>
      </c>
      <c r="D15" s="1" t="inlineStr">
        <is>
          <t>확인완료</t>
        </is>
      </c>
      <c r="E15" s="1" t="inlineStr">
        <is>
          <t>확인중</t>
        </is>
      </c>
      <c r="F15" s="1" t="inlineStr">
        <is>
          <t>미확인</t>
        </is>
      </c>
      <c r="G15" s="1" t="inlineStr">
        <is>
          <t>수정필요</t>
        </is>
      </c>
      <c r="H15" s="1" t="inlineStr">
        <is>
          <t>해당없음</t>
        </is>
      </c>
      <c r="I15" s="1" t="inlineStr">
        <is>
          <t>진행률</t>
        </is>
      </c>
      <c r="J15" s="1" t="inlineStr"/>
    </row>
    <row r="16">
      <c r="A16" s="27" t="inlineStr">
        <is>
          <t>🔴 최우선</t>
        </is>
      </c>
      <c r="B16" s="28" t="inlineStr">
        <is>
          <t>금액·세율·한도·비율·요건 연수·산식 — 세액이 틀어진다</t>
        </is>
      </c>
      <c r="C16" s="29">
        <f>COUNTIF('① 작업표'!$D$2:$D$2000,"🔴 최우선")</f>
        <v/>
      </c>
      <c r="D16" s="29">
        <f>COUNTIFS('① 작업표'!$D$2:$D$2000,"🔴 최우선",'① 작업표'!$I$2:$I$2000,"확인완료")</f>
        <v/>
      </c>
      <c r="E16" s="29">
        <f>COUNTIFS('① 작업표'!$D$2:$D$2000,"🔴 최우선",'① 작업표'!$I$2:$I$2000,"확인중")</f>
        <v/>
      </c>
      <c r="F16" s="29">
        <f>COUNTIFS('① 작업표'!$D$2:$D$2000,"🔴 최우선",'① 작업표'!$I$2:$I$2000,"미확인")</f>
        <v/>
      </c>
      <c r="G16" s="29">
        <f>COUNTIFS('① 작업표'!$D$2:$D$2000,"🔴 최우선",'① 작업표'!$I$2:$I$2000,"수정필요")</f>
        <v/>
      </c>
      <c r="H16" s="29">
        <f>COUNTIFS('① 작업표'!$D$2:$D$2000,"🔴 최우선",'① 작업표'!$I$2:$I$2000,"해당없음")</f>
        <v/>
      </c>
      <c r="I16" s="30">
        <f>IFERROR(D16/(C16-H16),"")</f>
        <v/>
      </c>
    </row>
    <row r="17">
      <c r="A17" s="31" t="inlineStr">
        <is>
          <t>🟡 중요</t>
        </is>
      </c>
      <c r="B17" s="28" t="inlineStr">
        <is>
          <t>조문번호·항·호 배치, 법문 축자 표현, 준용 관계 — 인용이 틀린다</t>
        </is>
      </c>
      <c r="C17" s="29">
        <f>COUNTIF('① 작업표'!$D$2:$D$2000,"🟡 중요")</f>
        <v/>
      </c>
      <c r="D17" s="29">
        <f>COUNTIFS('① 작업표'!$D$2:$D$2000,"🟡 중요",'① 작업표'!$I$2:$I$2000,"확인완료")</f>
        <v/>
      </c>
      <c r="E17" s="29">
        <f>COUNTIFS('① 작업표'!$D$2:$D$2000,"🟡 중요",'① 작업표'!$I$2:$I$2000,"확인중")</f>
        <v/>
      </c>
      <c r="F17" s="29">
        <f>COUNTIFS('① 작업표'!$D$2:$D$2000,"🟡 중요",'① 작업표'!$I$2:$I$2000,"미확인")</f>
        <v/>
      </c>
      <c r="G17" s="29">
        <f>COUNTIFS('① 작업표'!$D$2:$D$2000,"🟡 중요",'① 작업표'!$I$2:$I$2000,"수정필요")</f>
        <v/>
      </c>
      <c r="H17" s="29">
        <f>COUNTIFS('① 작업표'!$D$2:$D$2000,"🟡 중요",'① 작업표'!$I$2:$I$2000,"해당없음")</f>
        <v/>
      </c>
      <c r="I17" s="30">
        <f>IFERROR(D17/(C17-H17),"")</f>
        <v/>
      </c>
    </row>
    <row r="18">
      <c r="A18" s="32" t="inlineStr">
        <is>
          <t>🟢 보완</t>
        </is>
      </c>
      <c r="B18" s="28" t="inlineStr">
        <is>
          <t>예규·판례 사건번호, 서식 명칭, 절차·통계 — 신뢰도가 깎인다</t>
        </is>
      </c>
      <c r="C18" s="29">
        <f>COUNTIF('① 작업표'!$D$2:$D$2000,"🟢 보완")</f>
        <v/>
      </c>
      <c r="D18" s="29">
        <f>COUNTIFS('① 작업표'!$D$2:$D$2000,"🟢 보완",'① 작업표'!$I$2:$I$2000,"확인완료")</f>
        <v/>
      </c>
      <c r="E18" s="29">
        <f>COUNTIFS('① 작업표'!$D$2:$D$2000,"🟢 보완",'① 작업표'!$I$2:$I$2000,"확인중")</f>
        <v/>
      </c>
      <c r="F18" s="29">
        <f>COUNTIFS('① 작업표'!$D$2:$D$2000,"🟢 보완",'① 작업표'!$I$2:$I$2000,"미확인")</f>
        <v/>
      </c>
      <c r="G18" s="29">
        <f>COUNTIFS('① 작업표'!$D$2:$D$2000,"🟢 보완",'① 작업표'!$I$2:$I$2000,"수정필요")</f>
        <v/>
      </c>
      <c r="H18" s="29">
        <f>COUNTIFS('① 작업표'!$D$2:$D$2000,"🟢 보완",'① 작업표'!$I$2:$I$2000,"해당없음")</f>
        <v/>
      </c>
      <c r="I18" s="30">
        <f>IFERROR(D18/(C18-H18),"")</f>
        <v/>
      </c>
    </row>
    <row r="19">
      <c r="A19" s="33" t="inlineStr">
        <is>
          <t>⚪ 표기</t>
        </is>
      </c>
      <c r="B19" s="28" t="inlineStr">
        <is>
          <t>표기 설명·상호참조 — 원문 조회 대상이 아니며 마커를 지우지 말 것</t>
        </is>
      </c>
      <c r="C19" s="29">
        <f>COUNTIF('① 작업표'!$D$2:$D$2000,"⚪ 표기")</f>
        <v/>
      </c>
      <c r="D19" s="29">
        <f>COUNTIFS('① 작업표'!$D$2:$D$2000,"⚪ 표기",'① 작업표'!$I$2:$I$2000,"확인완료")</f>
        <v/>
      </c>
      <c r="E19" s="29">
        <f>COUNTIFS('① 작업표'!$D$2:$D$2000,"⚪ 표기",'① 작업표'!$I$2:$I$2000,"확인중")</f>
        <v/>
      </c>
      <c r="F19" s="29">
        <f>COUNTIFS('① 작업표'!$D$2:$D$2000,"⚪ 표기",'① 작업표'!$I$2:$I$2000,"미확인")</f>
        <v/>
      </c>
      <c r="G19" s="29">
        <f>COUNTIFS('① 작업표'!$D$2:$D$2000,"⚪ 표기",'① 작업표'!$I$2:$I$2000,"수정필요")</f>
        <v/>
      </c>
      <c r="H19" s="29">
        <f>COUNTIFS('① 작업표'!$D$2:$D$2000,"⚪ 표기",'① 작업표'!$I$2:$I$2000,"해당없음")</f>
        <v/>
      </c>
      <c r="I19" s="30">
        <f>IFERROR(D19/(C19-H19),"")</f>
        <v/>
      </c>
    </row>
    <row r="21">
      <c r="A21" s="21" t="inlineStr">
        <is>
          <t>■ 장별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</row>
    <row r="22" ht="30" customHeight="1">
      <c r="A22" s="1" t="inlineStr">
        <is>
          <t>장</t>
        </is>
      </c>
      <c r="B22" s="1" t="inlineStr">
        <is>
          <t>제목(약칭)</t>
        </is>
      </c>
      <c r="C22" s="1" t="inlineStr">
        <is>
          <t>마커</t>
        </is>
      </c>
      <c r="D22" s="1" t="inlineStr">
        <is>
          <t>🔴</t>
        </is>
      </c>
      <c r="E22" s="1" t="inlineStr">
        <is>
          <t>🟡</t>
        </is>
      </c>
      <c r="F22" s="1" t="inlineStr">
        <is>
          <t>🟢</t>
        </is>
      </c>
      <c r="G22" s="1" t="inlineStr">
        <is>
          <t>⚪</t>
        </is>
      </c>
      <c r="H22" s="1" t="inlineStr">
        <is>
          <t>확인완료</t>
        </is>
      </c>
      <c r="I22" s="1" t="inlineStr">
        <is>
          <t>진행률</t>
        </is>
      </c>
      <c r="J22" s="1" t="inlineStr">
        <is>
          <t>집중 검증 권고</t>
        </is>
      </c>
    </row>
    <row r="23">
      <c r="A23" s="29" t="n">
        <v>1</v>
      </c>
      <c r="B23" s="34" t="inlineStr">
        <is>
          <t>상속·증여와 세금 전체 그림</t>
        </is>
      </c>
      <c r="C23" s="29">
        <f>COUNTIF('① 작업표'!$B$2:$B$2000,1)</f>
        <v/>
      </c>
      <c r="D23" s="29">
        <f>COUNTIFS('① 작업표'!$B$2:$B$2000,1,'① 작업표'!$D$2:$D$2000,"🔴 최우선")</f>
        <v/>
      </c>
      <c r="E23" s="29">
        <f>COUNTIFS('① 작업표'!$B$2:$B$2000,1,'① 작업표'!$D$2:$D$2000,"🟡 중요")</f>
        <v/>
      </c>
      <c r="F23" s="29">
        <f>COUNTIFS('① 작업표'!$B$2:$B$2000,1,'① 작업표'!$D$2:$D$2000,"🟢 보완")</f>
        <v/>
      </c>
      <c r="G23" s="29">
        <f>COUNTIFS('① 작업표'!$B$2:$B$2000,1,'① 작업표'!$D$2:$D$2000,"⚪ 표기")</f>
        <v/>
      </c>
      <c r="H23" s="29">
        <f>COUNTIFS('① 작업표'!$B$2:$B$2000,1,'① 작업표'!$I$2:$I$2000,"확인완료")</f>
        <v/>
      </c>
      <c r="I23" s="30">
        <f>IFERROR(H23/(C23-G23),"")</f>
        <v/>
      </c>
      <c r="J23" s="28" t="n"/>
    </row>
    <row r="24">
      <c r="A24" s="29" t="n">
        <v>2</v>
      </c>
      <c r="B24" s="34" t="inlineStr">
        <is>
          <t>상증세법의 구조와 법령체계</t>
        </is>
      </c>
      <c r="C24" s="29">
        <f>COUNTIF('① 작업표'!$B$2:$B$2000,2)</f>
        <v/>
      </c>
      <c r="D24" s="29">
        <f>COUNTIFS('① 작업표'!$B$2:$B$2000,2,'① 작업표'!$D$2:$D$2000,"🔴 최우선")</f>
        <v/>
      </c>
      <c r="E24" s="29">
        <f>COUNTIFS('① 작업표'!$B$2:$B$2000,2,'① 작업표'!$D$2:$D$2000,"🟡 중요")</f>
        <v/>
      </c>
      <c r="F24" s="29">
        <f>COUNTIFS('① 작업표'!$B$2:$B$2000,2,'① 작업표'!$D$2:$D$2000,"🟢 보완")</f>
        <v/>
      </c>
      <c r="G24" s="29">
        <f>COUNTIFS('① 작업표'!$B$2:$B$2000,2,'① 작업표'!$D$2:$D$2000,"⚪ 표기")</f>
        <v/>
      </c>
      <c r="H24" s="29">
        <f>COUNTIFS('① 작업표'!$B$2:$B$2000,2,'① 작업표'!$I$2:$I$2000,"확인완료")</f>
        <v/>
      </c>
      <c r="I24" s="30">
        <f>IFERROR(H24/(C24-G24),"")</f>
        <v/>
      </c>
      <c r="J24" s="28" t="n"/>
    </row>
    <row r="25">
      <c r="A25" s="35" t="n">
        <v>3</v>
      </c>
      <c r="B25" s="36" t="inlineStr">
        <is>
          <t>상속의 민법 기초</t>
        </is>
      </c>
      <c r="C25" s="35">
        <f>COUNTIF('① 작업표'!$B$2:$B$2000,3)</f>
        <v/>
      </c>
      <c r="D25" s="35">
        <f>COUNTIFS('① 작업표'!$B$2:$B$2000,3,'① 작업표'!$D$2:$D$2000,"🔴 최우선")</f>
        <v/>
      </c>
      <c r="E25" s="35">
        <f>COUNTIFS('① 작업표'!$B$2:$B$2000,3,'① 작업표'!$D$2:$D$2000,"🟡 중요")</f>
        <v/>
      </c>
      <c r="F25" s="35">
        <f>COUNTIFS('① 작업표'!$B$2:$B$2000,3,'① 작업표'!$D$2:$D$2000,"🟢 보완")</f>
        <v/>
      </c>
      <c r="G25" s="35">
        <f>COUNTIFS('① 작업표'!$B$2:$B$2000,3,'① 작업표'!$D$2:$D$2000,"⚪ 표기")</f>
        <v/>
      </c>
      <c r="H25" s="35">
        <f>COUNTIFS('① 작업표'!$B$2:$B$2000,3,'① 작업표'!$I$2:$I$2000,"확인완료")</f>
        <v/>
      </c>
      <c r="I25" s="37">
        <f>IFERROR(H25/(C25-G25),"")</f>
        <v/>
      </c>
      <c r="J25" s="38" t="inlineStr">
        <is>
          <t>제3장 (상속의 민법 기초) — 11건, 최다. 🟡이 7건으로 몰려 있다. 세법이 아니라 민법이라 저자의 조사 밀도가 가장 낮았던 구간이고, 2026.2. 민법 개정(유류분·상속권 상실)이 겹쳐 개정 직후 조문을 다룬다. 유류분 관련 3건(특별수익·기여분·산입 증여 범위)은 서로 물려 있으므로 한 사람이 묶어서 보는 편이 빠르다. → 민법 전공 변호사 배정 권장.</t>
        </is>
      </c>
    </row>
    <row r="26">
      <c r="A26" s="35" t="n">
        <v>4</v>
      </c>
      <c r="B26" s="36" t="inlineStr">
        <is>
          <t>과세대상과 납세의무자</t>
        </is>
      </c>
      <c r="C26" s="35">
        <f>COUNTIF('① 작업표'!$B$2:$B$2000,4)</f>
        <v/>
      </c>
      <c r="D26" s="35">
        <f>COUNTIFS('① 작업표'!$B$2:$B$2000,4,'① 작업표'!$D$2:$D$2000,"🔴 최우선")</f>
        <v/>
      </c>
      <c r="E26" s="35">
        <f>COUNTIFS('① 작업표'!$B$2:$B$2000,4,'① 작업표'!$D$2:$D$2000,"🟡 중요")</f>
        <v/>
      </c>
      <c r="F26" s="35">
        <f>COUNTIFS('① 작업표'!$B$2:$B$2000,4,'① 작업표'!$D$2:$D$2000,"🟢 보완")</f>
        <v/>
      </c>
      <c r="G26" s="35">
        <f>COUNTIFS('① 작업표'!$B$2:$B$2000,4,'① 작업표'!$D$2:$D$2000,"⚪ 표기")</f>
        <v/>
      </c>
      <c r="H26" s="35">
        <f>COUNTIFS('① 작업표'!$B$2:$B$2000,4,'① 작업표'!$I$2:$I$2000,"확인완료")</f>
        <v/>
      </c>
      <c r="I26" s="37">
        <f>IFERROR(H26/(C26-G26),"")</f>
        <v/>
      </c>
      <c r="J26" s="38" t="inlineStr">
        <is>
          <t>제4장 (7건, 🟡 5건). §3의2 2026.1.1. 시행 개정이 걸려 있어 개정 전후 문언 대비가 필요하다. 부칙 원문까지 봐야 한다.</t>
        </is>
      </c>
    </row>
    <row r="27">
      <c r="A27" s="29" t="n">
        <v>5</v>
      </c>
      <c r="B27" s="34" t="inlineStr">
        <is>
          <t>상속재산의 범위</t>
        </is>
      </c>
      <c r="C27" s="29">
        <f>COUNTIF('① 작업표'!$B$2:$B$2000,5)</f>
        <v/>
      </c>
      <c r="D27" s="29">
        <f>COUNTIFS('① 작업표'!$B$2:$B$2000,5,'① 작업표'!$D$2:$D$2000,"🔴 최우선")</f>
        <v/>
      </c>
      <c r="E27" s="29">
        <f>COUNTIFS('① 작업표'!$B$2:$B$2000,5,'① 작업표'!$D$2:$D$2000,"🟡 중요")</f>
        <v/>
      </c>
      <c r="F27" s="29">
        <f>COUNTIFS('① 작업표'!$B$2:$B$2000,5,'① 작업표'!$D$2:$D$2000,"🟢 보완")</f>
        <v/>
      </c>
      <c r="G27" s="29">
        <f>COUNTIFS('① 작업표'!$B$2:$B$2000,5,'① 작업표'!$D$2:$D$2000,"⚪ 표기")</f>
        <v/>
      </c>
      <c r="H27" s="29">
        <f>COUNTIFS('① 작업표'!$B$2:$B$2000,5,'① 작업표'!$I$2:$I$2000,"확인완료")</f>
        <v/>
      </c>
      <c r="I27" s="30">
        <f>IFERROR(H27/(C27-G27),"")</f>
        <v/>
      </c>
      <c r="J27" s="28" t="n"/>
    </row>
    <row r="28">
      <c r="A28" s="29" t="n">
        <v>6</v>
      </c>
      <c r="B28" s="34" t="inlineStr">
        <is>
          <t>사전증여재산 합산</t>
        </is>
      </c>
      <c r="C28" s="29">
        <f>COUNTIF('① 작업표'!$B$2:$B$2000,6)</f>
        <v/>
      </c>
      <c r="D28" s="29">
        <f>COUNTIFS('① 작업표'!$B$2:$B$2000,6,'① 작업표'!$D$2:$D$2000,"🔴 최우선")</f>
        <v/>
      </c>
      <c r="E28" s="29">
        <f>COUNTIFS('① 작업표'!$B$2:$B$2000,6,'① 작업표'!$D$2:$D$2000,"🟡 중요")</f>
        <v/>
      </c>
      <c r="F28" s="29">
        <f>COUNTIFS('① 작업표'!$B$2:$B$2000,6,'① 작업표'!$D$2:$D$2000,"🟢 보완")</f>
        <v/>
      </c>
      <c r="G28" s="29">
        <f>COUNTIFS('① 작업표'!$B$2:$B$2000,6,'① 작업표'!$D$2:$D$2000,"⚪ 표기")</f>
        <v/>
      </c>
      <c r="H28" s="29">
        <f>COUNTIFS('① 작업표'!$B$2:$B$2000,6,'① 작업표'!$I$2:$I$2000,"확인완료")</f>
        <v/>
      </c>
      <c r="I28" s="30">
        <f>IFERROR(H28/(C28-G28),"")</f>
        <v/>
      </c>
      <c r="J28" s="28" t="n"/>
    </row>
    <row r="29">
      <c r="A29" s="29" t="n">
        <v>7</v>
      </c>
      <c r="B29" s="34" t="inlineStr">
        <is>
          <t>상속세 과세가액</t>
        </is>
      </c>
      <c r="C29" s="29">
        <f>COUNTIF('① 작업표'!$B$2:$B$2000,7)</f>
        <v/>
      </c>
      <c r="D29" s="29">
        <f>COUNTIFS('① 작업표'!$B$2:$B$2000,7,'① 작업표'!$D$2:$D$2000,"🔴 최우선")</f>
        <v/>
      </c>
      <c r="E29" s="29">
        <f>COUNTIFS('① 작업표'!$B$2:$B$2000,7,'① 작업표'!$D$2:$D$2000,"🟡 중요")</f>
        <v/>
      </c>
      <c r="F29" s="29">
        <f>COUNTIFS('① 작업표'!$B$2:$B$2000,7,'① 작업표'!$D$2:$D$2000,"🟢 보완")</f>
        <v/>
      </c>
      <c r="G29" s="29">
        <f>COUNTIFS('① 작업표'!$B$2:$B$2000,7,'① 작업표'!$D$2:$D$2000,"⚪ 표기")</f>
        <v/>
      </c>
      <c r="H29" s="29">
        <f>COUNTIFS('① 작업표'!$B$2:$B$2000,7,'① 작업표'!$I$2:$I$2000,"확인완료")</f>
        <v/>
      </c>
      <c r="I29" s="30">
        <f>IFERROR(H29/(C29-G29),"")</f>
        <v/>
      </c>
      <c r="J29" s="28" t="n"/>
    </row>
    <row r="30">
      <c r="A30" s="29" t="n">
        <v>8</v>
      </c>
      <c r="B30" s="34" t="inlineStr">
        <is>
          <t>상속공제 I (기초·일괄·인적)</t>
        </is>
      </c>
      <c r="C30" s="29">
        <f>COUNTIF('① 작업표'!$B$2:$B$2000,8)</f>
        <v/>
      </c>
      <c r="D30" s="29">
        <f>COUNTIFS('① 작업표'!$B$2:$B$2000,8,'① 작업표'!$D$2:$D$2000,"🔴 최우선")</f>
        <v/>
      </c>
      <c r="E30" s="29">
        <f>COUNTIFS('① 작업표'!$B$2:$B$2000,8,'① 작업표'!$D$2:$D$2000,"🟡 중요")</f>
        <v/>
      </c>
      <c r="F30" s="29">
        <f>COUNTIFS('① 작업표'!$B$2:$B$2000,8,'① 작업표'!$D$2:$D$2000,"🟢 보완")</f>
        <v/>
      </c>
      <c r="G30" s="29">
        <f>COUNTIFS('① 작업표'!$B$2:$B$2000,8,'① 작업표'!$D$2:$D$2000,"⚪ 표기")</f>
        <v/>
      </c>
      <c r="H30" s="29">
        <f>COUNTIFS('① 작업표'!$B$2:$B$2000,8,'① 작업표'!$I$2:$I$2000,"확인완료")</f>
        <v/>
      </c>
      <c r="I30" s="30">
        <f>IFERROR(H30/(C30-G30),"")</f>
        <v/>
      </c>
      <c r="J30" s="28" t="n"/>
    </row>
    <row r="31">
      <c r="A31" s="29" t="n">
        <v>9</v>
      </c>
      <c r="B31" s="34" t="inlineStr">
        <is>
          <t>상속공제 II (배우자)</t>
        </is>
      </c>
      <c r="C31" s="29">
        <f>COUNTIF('① 작업표'!$B$2:$B$2000,9)</f>
        <v/>
      </c>
      <c r="D31" s="29">
        <f>COUNTIFS('① 작업표'!$B$2:$B$2000,9,'① 작업표'!$D$2:$D$2000,"🔴 최우선")</f>
        <v/>
      </c>
      <c r="E31" s="29">
        <f>COUNTIFS('① 작업표'!$B$2:$B$2000,9,'① 작업표'!$D$2:$D$2000,"🟡 중요")</f>
        <v/>
      </c>
      <c r="F31" s="29">
        <f>COUNTIFS('① 작업표'!$B$2:$B$2000,9,'① 작업표'!$D$2:$D$2000,"🟢 보완")</f>
        <v/>
      </c>
      <c r="G31" s="29">
        <f>COUNTIFS('① 작업표'!$B$2:$B$2000,9,'① 작업표'!$D$2:$D$2000,"⚪ 표기")</f>
        <v/>
      </c>
      <c r="H31" s="29">
        <f>COUNTIFS('① 작업표'!$B$2:$B$2000,9,'① 작업표'!$I$2:$I$2000,"확인완료")</f>
        <v/>
      </c>
      <c r="I31" s="30">
        <f>IFERROR(H31/(C31-G31),"")</f>
        <v/>
      </c>
      <c r="J31" s="28" t="n"/>
    </row>
    <row r="32">
      <c r="A32" s="29" t="n">
        <v>10</v>
      </c>
      <c r="B32" s="34" t="inlineStr">
        <is>
          <t>상속공제 III (금융·동거주택)</t>
        </is>
      </c>
      <c r="C32" s="29">
        <f>COUNTIF('① 작업표'!$B$2:$B$2000,10)</f>
        <v/>
      </c>
      <c r="D32" s="29">
        <f>COUNTIFS('① 작업표'!$B$2:$B$2000,10,'① 작업표'!$D$2:$D$2000,"🔴 최우선")</f>
        <v/>
      </c>
      <c r="E32" s="29">
        <f>COUNTIFS('① 작업표'!$B$2:$B$2000,10,'① 작업표'!$D$2:$D$2000,"🟡 중요")</f>
        <v/>
      </c>
      <c r="F32" s="29">
        <f>COUNTIFS('① 작업표'!$B$2:$B$2000,10,'① 작업표'!$D$2:$D$2000,"🟢 보완")</f>
        <v/>
      </c>
      <c r="G32" s="29">
        <f>COUNTIFS('① 작업표'!$B$2:$B$2000,10,'① 작업표'!$D$2:$D$2000,"⚪ 표기")</f>
        <v/>
      </c>
      <c r="H32" s="29">
        <f>COUNTIFS('① 작업표'!$B$2:$B$2000,10,'① 작업표'!$I$2:$I$2000,"확인완료")</f>
        <v/>
      </c>
      <c r="I32" s="30">
        <f>IFERROR(H32/(C32-G32),"")</f>
        <v/>
      </c>
      <c r="J32" s="28" t="n"/>
    </row>
    <row r="33">
      <c r="A33" s="29" t="n">
        <v>11</v>
      </c>
      <c r="B33" s="34" t="inlineStr">
        <is>
          <t>가업상속공제·영농상속공제</t>
        </is>
      </c>
      <c r="C33" s="29">
        <f>COUNTIF('① 작업표'!$B$2:$B$2000,11)</f>
        <v/>
      </c>
      <c r="D33" s="29">
        <f>COUNTIFS('① 작업표'!$B$2:$B$2000,11,'① 작업표'!$D$2:$D$2000,"🔴 최우선")</f>
        <v/>
      </c>
      <c r="E33" s="29">
        <f>COUNTIFS('① 작업표'!$B$2:$B$2000,11,'① 작업표'!$D$2:$D$2000,"🟡 중요")</f>
        <v/>
      </c>
      <c r="F33" s="29">
        <f>COUNTIFS('① 작업표'!$B$2:$B$2000,11,'① 작업표'!$D$2:$D$2000,"🟢 보완")</f>
        <v/>
      </c>
      <c r="G33" s="29">
        <f>COUNTIFS('① 작업표'!$B$2:$B$2000,11,'① 작업표'!$D$2:$D$2000,"⚪ 표기")</f>
        <v/>
      </c>
      <c r="H33" s="29">
        <f>COUNTIFS('① 작업표'!$B$2:$B$2000,11,'① 작업표'!$I$2:$I$2000,"확인완료")</f>
        <v/>
      </c>
      <c r="I33" s="30">
        <f>IFERROR(H33/(C33-G33),"")</f>
        <v/>
      </c>
      <c r="J33" s="28" t="n"/>
    </row>
    <row r="34">
      <c r="A34" s="29" t="n">
        <v>12</v>
      </c>
      <c r="B34" s="34" t="inlineStr">
        <is>
          <t>세율과 세액 계산</t>
        </is>
      </c>
      <c r="C34" s="29">
        <f>COUNTIF('① 작업표'!$B$2:$B$2000,12)</f>
        <v/>
      </c>
      <c r="D34" s="29">
        <f>COUNTIFS('① 작업표'!$B$2:$B$2000,12,'① 작업표'!$D$2:$D$2000,"🔴 최우선")</f>
        <v/>
      </c>
      <c r="E34" s="29">
        <f>COUNTIFS('① 작업표'!$B$2:$B$2000,12,'① 작업표'!$D$2:$D$2000,"🟡 중요")</f>
        <v/>
      </c>
      <c r="F34" s="29">
        <f>COUNTIFS('① 작업표'!$B$2:$B$2000,12,'① 작업표'!$D$2:$D$2000,"🟢 보완")</f>
        <v/>
      </c>
      <c r="G34" s="29">
        <f>COUNTIFS('① 작업표'!$B$2:$B$2000,12,'① 작업표'!$D$2:$D$2000,"⚪ 표기")</f>
        <v/>
      </c>
      <c r="H34" s="29">
        <f>COUNTIFS('① 작업표'!$B$2:$B$2000,12,'① 작업표'!$I$2:$I$2000,"확인완료")</f>
        <v/>
      </c>
      <c r="I34" s="30">
        <f>IFERROR(H34/(C34-G34),"")</f>
        <v/>
      </c>
      <c r="J34" s="28" t="n"/>
    </row>
    <row r="35">
      <c r="A35" s="35" t="n">
        <v>13</v>
      </c>
      <c r="B35" s="36" t="inlineStr">
        <is>
          <t>비거주자와 국제상속</t>
        </is>
      </c>
      <c r="C35" s="35">
        <f>COUNTIF('① 작업표'!$B$2:$B$2000,13)</f>
        <v/>
      </c>
      <c r="D35" s="35">
        <f>COUNTIFS('① 작업표'!$B$2:$B$2000,13,'① 작업표'!$D$2:$D$2000,"🔴 최우선")</f>
        <v/>
      </c>
      <c r="E35" s="35">
        <f>COUNTIFS('① 작업표'!$B$2:$B$2000,13,'① 작업표'!$D$2:$D$2000,"🟡 중요")</f>
        <v/>
      </c>
      <c r="F35" s="35">
        <f>COUNTIFS('① 작업표'!$B$2:$B$2000,13,'① 작업표'!$D$2:$D$2000,"🟢 보완")</f>
        <v/>
      </c>
      <c r="G35" s="35">
        <f>COUNTIFS('① 작업표'!$B$2:$B$2000,13,'① 작업표'!$D$2:$D$2000,"⚪ 표기")</f>
        <v/>
      </c>
      <c r="H35" s="35">
        <f>COUNTIFS('① 작업표'!$B$2:$B$2000,13,'① 작업표'!$I$2:$I$2000,"확인완료")</f>
        <v/>
      </c>
      <c r="I35" s="37">
        <f>IFERROR(H35/(C35-G35),"")</f>
        <v/>
      </c>
      <c r="J35" s="38" t="inlineStr">
        <is>
          <t>제13장 (비거주자와 국제상속) — 10건, 🔴 4건으로 최다. 거주자 판정(183일 계산)·국외전출세 세율·해외금융계좌 과태료율·§53 거주자 요건이 전부 🔴다. 게다가 소득세법·국제조세조정법·조세조약이라는 이 책 바깥의 법령을 인용하는 장이라 상증세법만 아는 검토자로는 닫히지 않는다. → 국제조세 담당자 배정 권장.</t>
        </is>
      </c>
    </row>
    <row r="36">
      <c r="A36" s="29" t="n">
        <v>14</v>
      </c>
      <c r="B36" s="34" t="inlineStr">
        <is>
          <t>증여세 과세대상과 납세의무자</t>
        </is>
      </c>
      <c r="C36" s="29">
        <f>COUNTIF('① 작업표'!$B$2:$B$2000,14)</f>
        <v/>
      </c>
      <c r="D36" s="29">
        <f>COUNTIFS('① 작업표'!$B$2:$B$2000,14,'① 작업표'!$D$2:$D$2000,"🔴 최우선")</f>
        <v/>
      </c>
      <c r="E36" s="29">
        <f>COUNTIFS('① 작업표'!$B$2:$B$2000,14,'① 작업표'!$D$2:$D$2000,"🟡 중요")</f>
        <v/>
      </c>
      <c r="F36" s="29">
        <f>COUNTIFS('① 작업표'!$B$2:$B$2000,14,'① 작업표'!$D$2:$D$2000,"🟢 보완")</f>
        <v/>
      </c>
      <c r="G36" s="29">
        <f>COUNTIFS('① 작업표'!$B$2:$B$2000,14,'① 작업표'!$D$2:$D$2000,"⚪ 표기")</f>
        <v/>
      </c>
      <c r="H36" s="29">
        <f>COUNTIFS('① 작업표'!$B$2:$B$2000,14,'① 작업표'!$I$2:$I$2000,"확인완료")</f>
        <v/>
      </c>
      <c r="I36" s="30">
        <f>IFERROR(H36/(C36-G36),"")</f>
        <v/>
      </c>
      <c r="J36" s="28" t="n"/>
    </row>
    <row r="37">
      <c r="A37" s="29" t="n">
        <v>15</v>
      </c>
      <c r="B37" s="34" t="inlineStr">
        <is>
          <t>증여재산공제</t>
        </is>
      </c>
      <c r="C37" s="29">
        <f>COUNTIF('① 작업표'!$B$2:$B$2000,15)</f>
        <v/>
      </c>
      <c r="D37" s="29">
        <f>COUNTIFS('① 작업표'!$B$2:$B$2000,15,'① 작업표'!$D$2:$D$2000,"🔴 최우선")</f>
        <v/>
      </c>
      <c r="E37" s="29">
        <f>COUNTIFS('① 작업표'!$B$2:$B$2000,15,'① 작업표'!$D$2:$D$2000,"🟡 중요")</f>
        <v/>
      </c>
      <c r="F37" s="29">
        <f>COUNTIFS('① 작업표'!$B$2:$B$2000,15,'① 작업표'!$D$2:$D$2000,"🟢 보완")</f>
        <v/>
      </c>
      <c r="G37" s="29">
        <f>COUNTIFS('① 작업표'!$B$2:$B$2000,15,'① 작업표'!$D$2:$D$2000,"⚪ 표기")</f>
        <v/>
      </c>
      <c r="H37" s="29">
        <f>COUNTIFS('① 작업표'!$B$2:$B$2000,15,'① 작업표'!$I$2:$I$2000,"확인완료")</f>
        <v/>
      </c>
      <c r="I37" s="30">
        <f>IFERROR(H37/(C37-G37),"")</f>
        <v/>
      </c>
      <c r="J37" s="28" t="n"/>
    </row>
    <row r="38">
      <c r="A38" s="29" t="n">
        <v>16</v>
      </c>
      <c r="B38" s="34" t="inlineStr">
        <is>
          <t>유형별 증여</t>
        </is>
      </c>
      <c r="C38" s="29">
        <f>COUNTIF('① 작업표'!$B$2:$B$2000,16)</f>
        <v/>
      </c>
      <c r="D38" s="29">
        <f>COUNTIFS('① 작업표'!$B$2:$B$2000,16,'① 작업표'!$D$2:$D$2000,"🔴 최우선")</f>
        <v/>
      </c>
      <c r="E38" s="29">
        <f>COUNTIFS('① 작업표'!$B$2:$B$2000,16,'① 작업표'!$D$2:$D$2000,"🟡 중요")</f>
        <v/>
      </c>
      <c r="F38" s="29">
        <f>COUNTIFS('① 작업표'!$B$2:$B$2000,16,'① 작업표'!$D$2:$D$2000,"🟢 보완")</f>
        <v/>
      </c>
      <c r="G38" s="29">
        <f>COUNTIFS('① 작업표'!$B$2:$B$2000,16,'① 작업표'!$D$2:$D$2000,"⚪ 표기")</f>
        <v/>
      </c>
      <c r="H38" s="29">
        <f>COUNTIFS('① 작업표'!$B$2:$B$2000,16,'① 작업표'!$I$2:$I$2000,"확인완료")</f>
        <v/>
      </c>
      <c r="I38" s="30">
        <f>IFERROR(H38/(C38-G38),"")</f>
        <v/>
      </c>
      <c r="J38" s="28" t="n"/>
    </row>
    <row r="39">
      <c r="A39" s="29" t="n">
        <v>17</v>
      </c>
      <c r="B39" s="34" t="inlineStr">
        <is>
          <t>부담부증여</t>
        </is>
      </c>
      <c r="C39" s="29">
        <f>COUNTIF('① 작업표'!$B$2:$B$2000,17)</f>
        <v/>
      </c>
      <c r="D39" s="29">
        <f>COUNTIFS('① 작업표'!$B$2:$B$2000,17,'① 작업표'!$D$2:$D$2000,"🔴 최우선")</f>
        <v/>
      </c>
      <c r="E39" s="29">
        <f>COUNTIFS('① 작업표'!$B$2:$B$2000,17,'① 작업표'!$D$2:$D$2000,"🟡 중요")</f>
        <v/>
      </c>
      <c r="F39" s="29">
        <f>COUNTIFS('① 작업표'!$B$2:$B$2000,17,'① 작업표'!$D$2:$D$2000,"🟢 보완")</f>
        <v/>
      </c>
      <c r="G39" s="29">
        <f>COUNTIFS('① 작업표'!$B$2:$B$2000,17,'① 작업표'!$D$2:$D$2000,"⚪ 표기")</f>
        <v/>
      </c>
      <c r="H39" s="29">
        <f>COUNTIFS('① 작업표'!$B$2:$B$2000,17,'① 작업표'!$I$2:$I$2000,"확인완료")</f>
        <v/>
      </c>
      <c r="I39" s="30">
        <f>IFERROR(H39/(C39-G39),"")</f>
        <v/>
      </c>
      <c r="J39" s="28" t="n"/>
    </row>
    <row r="40">
      <c r="A40" s="29" t="n">
        <v>18</v>
      </c>
      <c r="B40" s="34" t="inlineStr">
        <is>
          <t>증여추정과 증여의제</t>
        </is>
      </c>
      <c r="C40" s="29">
        <f>COUNTIF('① 작업표'!$B$2:$B$2000,18)</f>
        <v/>
      </c>
      <c r="D40" s="29">
        <f>COUNTIFS('① 작업표'!$B$2:$B$2000,18,'① 작업표'!$D$2:$D$2000,"🔴 최우선")</f>
        <v/>
      </c>
      <c r="E40" s="29">
        <f>COUNTIFS('① 작업표'!$B$2:$B$2000,18,'① 작업표'!$D$2:$D$2000,"🟡 중요")</f>
        <v/>
      </c>
      <c r="F40" s="29">
        <f>COUNTIFS('① 작업표'!$B$2:$B$2000,18,'① 작업표'!$D$2:$D$2000,"🟢 보완")</f>
        <v/>
      </c>
      <c r="G40" s="29">
        <f>COUNTIFS('① 작업표'!$B$2:$B$2000,18,'① 작업표'!$D$2:$D$2000,"⚪ 표기")</f>
        <v/>
      </c>
      <c r="H40" s="29">
        <f>COUNTIFS('① 작업표'!$B$2:$B$2000,18,'① 작업표'!$I$2:$I$2000,"확인완료")</f>
        <v/>
      </c>
      <c r="I40" s="30">
        <f>IFERROR(H40/(C40-G40),"")</f>
        <v/>
      </c>
      <c r="J40" s="28" t="n"/>
    </row>
    <row r="41">
      <c r="A41" s="29" t="n">
        <v>19</v>
      </c>
      <c r="B41" s="34" t="inlineStr">
        <is>
          <t>창업자금·가업승계 과세특례</t>
        </is>
      </c>
      <c r="C41" s="29">
        <f>COUNTIF('① 작업표'!$B$2:$B$2000,19)</f>
        <v/>
      </c>
      <c r="D41" s="29">
        <f>COUNTIFS('① 작업표'!$B$2:$B$2000,19,'① 작업표'!$D$2:$D$2000,"🔴 최우선")</f>
        <v/>
      </c>
      <c r="E41" s="29">
        <f>COUNTIFS('① 작업표'!$B$2:$B$2000,19,'① 작업표'!$D$2:$D$2000,"🟡 중요")</f>
        <v/>
      </c>
      <c r="F41" s="29">
        <f>COUNTIFS('① 작업표'!$B$2:$B$2000,19,'① 작업표'!$D$2:$D$2000,"🟢 보완")</f>
        <v/>
      </c>
      <c r="G41" s="29">
        <f>COUNTIFS('① 작업표'!$B$2:$B$2000,19,'① 작업표'!$D$2:$D$2000,"⚪ 표기")</f>
        <v/>
      </c>
      <c r="H41" s="29">
        <f>COUNTIFS('① 작업표'!$B$2:$B$2000,19,'① 작업표'!$I$2:$I$2000,"확인완료")</f>
        <v/>
      </c>
      <c r="I41" s="30">
        <f>IFERROR(H41/(C41-G41),"")</f>
        <v/>
      </c>
      <c r="J41" s="28" t="n"/>
    </row>
    <row r="42">
      <c r="A42" s="29" t="n">
        <v>20</v>
      </c>
      <c r="B42" s="34" t="inlineStr">
        <is>
          <t>신탁과 상속·증여</t>
        </is>
      </c>
      <c r="C42" s="29">
        <f>COUNTIF('① 작업표'!$B$2:$B$2000,20)</f>
        <v/>
      </c>
      <c r="D42" s="29">
        <f>COUNTIFS('① 작업표'!$B$2:$B$2000,20,'① 작업표'!$D$2:$D$2000,"🔴 최우선")</f>
        <v/>
      </c>
      <c r="E42" s="29">
        <f>COUNTIFS('① 작업표'!$B$2:$B$2000,20,'① 작업표'!$D$2:$D$2000,"🟡 중요")</f>
        <v/>
      </c>
      <c r="F42" s="29">
        <f>COUNTIFS('① 작업표'!$B$2:$B$2000,20,'① 작업표'!$D$2:$D$2000,"🟢 보완")</f>
        <v/>
      </c>
      <c r="G42" s="29">
        <f>COUNTIFS('① 작업표'!$B$2:$B$2000,20,'① 작업표'!$D$2:$D$2000,"⚪ 표기")</f>
        <v/>
      </c>
      <c r="H42" s="29">
        <f>COUNTIFS('① 작업표'!$B$2:$B$2000,20,'① 작업표'!$I$2:$I$2000,"확인완료")</f>
        <v/>
      </c>
      <c r="I42" s="30">
        <f>IFERROR(H42/(C42-G42),"")</f>
        <v/>
      </c>
      <c r="J42" s="28" t="n"/>
    </row>
    <row r="43">
      <c r="A43" s="29" t="n">
        <v>21</v>
      </c>
      <c r="B43" s="34" t="inlineStr">
        <is>
          <t>평가 원칙</t>
        </is>
      </c>
      <c r="C43" s="29">
        <f>COUNTIF('① 작업표'!$B$2:$B$2000,21)</f>
        <v/>
      </c>
      <c r="D43" s="29">
        <f>COUNTIFS('① 작업표'!$B$2:$B$2000,21,'① 작업표'!$D$2:$D$2000,"🔴 최우선")</f>
        <v/>
      </c>
      <c r="E43" s="29">
        <f>COUNTIFS('① 작업표'!$B$2:$B$2000,21,'① 작업표'!$D$2:$D$2000,"🟡 중요")</f>
        <v/>
      </c>
      <c r="F43" s="29">
        <f>COUNTIFS('① 작업표'!$B$2:$B$2000,21,'① 작업표'!$D$2:$D$2000,"🟢 보완")</f>
        <v/>
      </c>
      <c r="G43" s="29">
        <f>COUNTIFS('① 작업표'!$B$2:$B$2000,21,'① 작업표'!$D$2:$D$2000,"⚪ 표기")</f>
        <v/>
      </c>
      <c r="H43" s="29">
        <f>COUNTIFS('① 작업표'!$B$2:$B$2000,21,'① 작업표'!$I$2:$I$2000,"확인완료")</f>
        <v/>
      </c>
      <c r="I43" s="30">
        <f>IFERROR(H43/(C43-G43),"")</f>
        <v/>
      </c>
      <c r="J43" s="28" t="n"/>
    </row>
    <row r="44">
      <c r="A44" s="29" t="n">
        <v>22</v>
      </c>
      <c r="B44" s="34" t="inlineStr">
        <is>
          <t>보충적 평가</t>
        </is>
      </c>
      <c r="C44" s="29">
        <f>COUNTIF('① 작업표'!$B$2:$B$2000,22)</f>
        <v/>
      </c>
      <c r="D44" s="29">
        <f>COUNTIFS('① 작업표'!$B$2:$B$2000,22,'① 작업표'!$D$2:$D$2000,"🔴 최우선")</f>
        <v/>
      </c>
      <c r="E44" s="29">
        <f>COUNTIFS('① 작업표'!$B$2:$B$2000,22,'① 작업표'!$D$2:$D$2000,"🟡 중요")</f>
        <v/>
      </c>
      <c r="F44" s="29">
        <f>COUNTIFS('① 작업표'!$B$2:$B$2000,22,'① 작업표'!$D$2:$D$2000,"🟢 보완")</f>
        <v/>
      </c>
      <c r="G44" s="29">
        <f>COUNTIFS('① 작업표'!$B$2:$B$2000,22,'① 작업표'!$D$2:$D$2000,"⚪ 표기")</f>
        <v/>
      </c>
      <c r="H44" s="29">
        <f>COUNTIFS('① 작업표'!$B$2:$B$2000,22,'① 작업표'!$I$2:$I$2000,"확인완료")</f>
        <v/>
      </c>
      <c r="I44" s="30">
        <f>IFERROR(H44/(C44-G44),"")</f>
        <v/>
      </c>
      <c r="J44" s="28" t="n"/>
    </row>
    <row r="45">
      <c r="A45" s="29" t="n">
        <v>23</v>
      </c>
      <c r="B45" s="34" t="inlineStr">
        <is>
          <t>신고와 납부</t>
        </is>
      </c>
      <c r="C45" s="29">
        <f>COUNTIF('① 작업표'!$B$2:$B$2000,23)</f>
        <v/>
      </c>
      <c r="D45" s="29">
        <f>COUNTIFS('① 작업표'!$B$2:$B$2000,23,'① 작업표'!$D$2:$D$2000,"🔴 최우선")</f>
        <v/>
      </c>
      <c r="E45" s="29">
        <f>COUNTIFS('① 작업표'!$B$2:$B$2000,23,'① 작업표'!$D$2:$D$2000,"🟡 중요")</f>
        <v/>
      </c>
      <c r="F45" s="29">
        <f>COUNTIFS('① 작업표'!$B$2:$B$2000,23,'① 작업표'!$D$2:$D$2000,"🟢 보완")</f>
        <v/>
      </c>
      <c r="G45" s="29">
        <f>COUNTIFS('① 작업표'!$B$2:$B$2000,23,'① 작업표'!$D$2:$D$2000,"⚪ 표기")</f>
        <v/>
      </c>
      <c r="H45" s="29">
        <f>COUNTIFS('① 작업표'!$B$2:$B$2000,23,'① 작업표'!$I$2:$I$2000,"확인완료")</f>
        <v/>
      </c>
      <c r="I45" s="30">
        <f>IFERROR(H45/(C45-G45),"")</f>
        <v/>
      </c>
      <c r="J45" s="28" t="n"/>
    </row>
    <row r="46">
      <c r="A46" s="35" t="n">
        <v>24</v>
      </c>
      <c r="B46" s="36" t="inlineStr">
        <is>
          <t>연부연납과 물납</t>
        </is>
      </c>
      <c r="C46" s="35">
        <f>COUNTIF('① 작업표'!$B$2:$B$2000,24)</f>
        <v/>
      </c>
      <c r="D46" s="35">
        <f>COUNTIFS('① 작업표'!$B$2:$B$2000,24,'① 작업표'!$D$2:$D$2000,"🔴 최우선")</f>
        <v/>
      </c>
      <c r="E46" s="35">
        <f>COUNTIFS('① 작업표'!$B$2:$B$2000,24,'① 작업표'!$D$2:$D$2000,"🟡 중요")</f>
        <v/>
      </c>
      <c r="F46" s="35">
        <f>COUNTIFS('① 작업표'!$B$2:$B$2000,24,'① 작업표'!$D$2:$D$2000,"🟢 보완")</f>
        <v/>
      </c>
      <c r="G46" s="35">
        <f>COUNTIFS('① 작업표'!$B$2:$B$2000,24,'① 작업표'!$D$2:$D$2000,"⚪ 표기")</f>
        <v/>
      </c>
      <c r="H46" s="35">
        <f>COUNTIFS('① 작업표'!$B$2:$B$2000,24,'① 작업표'!$I$2:$I$2000,"확인완료")</f>
        <v/>
      </c>
      <c r="I46" s="37">
        <f>IFERROR(H46/(C46-G46),"")</f>
        <v/>
      </c>
      <c r="J46" s="38" t="inlineStr">
        <is>
          <t>제24장 (7건, 🟡 5건). 연부연납 조문 표현이 조밀하게 몰려 있어 §71~§73을 한 번에 통독하면 5건이 동시에 닫힌다. 효율이 가장 좋은 구간.</t>
        </is>
      </c>
    </row>
    <row r="47">
      <c r="A47" s="29" t="n">
        <v>25</v>
      </c>
      <c r="B47" s="34" t="inlineStr">
        <is>
          <t>결정·경정과 세무조사</t>
        </is>
      </c>
      <c r="C47" s="29">
        <f>COUNTIF('① 작업표'!$B$2:$B$2000,25)</f>
        <v/>
      </c>
      <c r="D47" s="29">
        <f>COUNTIFS('① 작업표'!$B$2:$B$2000,25,'① 작업표'!$D$2:$D$2000,"🔴 최우선")</f>
        <v/>
      </c>
      <c r="E47" s="29">
        <f>COUNTIFS('① 작업표'!$B$2:$B$2000,25,'① 작업표'!$D$2:$D$2000,"🟡 중요")</f>
        <v/>
      </c>
      <c r="F47" s="29">
        <f>COUNTIFS('① 작업표'!$B$2:$B$2000,25,'① 작업표'!$D$2:$D$2000,"🟢 보완")</f>
        <v/>
      </c>
      <c r="G47" s="29">
        <f>COUNTIFS('① 작업표'!$B$2:$B$2000,25,'① 작업표'!$D$2:$D$2000,"⚪ 표기")</f>
        <v/>
      </c>
      <c r="H47" s="29">
        <f>COUNTIFS('① 작업표'!$B$2:$B$2000,25,'① 작업표'!$I$2:$I$2000,"확인완료")</f>
        <v/>
      </c>
      <c r="I47" s="30">
        <f>IFERROR(H47/(C47-G47),"")</f>
        <v/>
      </c>
      <c r="J47" s="28" t="n"/>
    </row>
    <row r="48">
      <c r="A48" s="29" t="n">
        <v>26</v>
      </c>
      <c r="B48" s="34" t="inlineStr">
        <is>
          <t>공익법인 출연재산</t>
        </is>
      </c>
      <c r="C48" s="29">
        <f>COUNTIF('① 작업표'!$B$2:$B$2000,26)</f>
        <v/>
      </c>
      <c r="D48" s="29">
        <f>COUNTIFS('① 작업표'!$B$2:$B$2000,26,'① 작업표'!$D$2:$D$2000,"🔴 최우선")</f>
        <v/>
      </c>
      <c r="E48" s="29">
        <f>COUNTIFS('① 작업표'!$B$2:$B$2000,26,'① 작업표'!$D$2:$D$2000,"🟡 중요")</f>
        <v/>
      </c>
      <c r="F48" s="29">
        <f>COUNTIFS('① 작업표'!$B$2:$B$2000,26,'① 작업표'!$D$2:$D$2000,"🟢 보완")</f>
        <v/>
      </c>
      <c r="G48" s="29">
        <f>COUNTIFS('① 작업표'!$B$2:$B$2000,26,'① 작업표'!$D$2:$D$2000,"⚪ 표기")</f>
        <v/>
      </c>
      <c r="H48" s="29">
        <f>COUNTIFS('① 작업표'!$B$2:$B$2000,26,'① 작업표'!$I$2:$I$2000,"확인완료")</f>
        <v/>
      </c>
      <c r="I48" s="30">
        <f>IFERROR(H48/(C48-G48),"")</f>
        <v/>
      </c>
      <c r="J48" s="28" t="n"/>
    </row>
    <row r="49">
      <c r="A49" s="35" t="n">
        <v>27</v>
      </c>
      <c r="B49" s="36" t="inlineStr">
        <is>
          <t>다른 세금과의 관계</t>
        </is>
      </c>
      <c r="C49" s="35">
        <f>COUNTIF('① 작업표'!$B$2:$B$2000,27)</f>
        <v/>
      </c>
      <c r="D49" s="35">
        <f>COUNTIFS('① 작업표'!$B$2:$B$2000,27,'① 작업표'!$D$2:$D$2000,"🔴 최우선")</f>
        <v/>
      </c>
      <c r="E49" s="35">
        <f>COUNTIFS('① 작업표'!$B$2:$B$2000,27,'① 작업표'!$D$2:$D$2000,"🟡 중요")</f>
        <v/>
      </c>
      <c r="F49" s="35">
        <f>COUNTIFS('① 작업표'!$B$2:$B$2000,27,'① 작업표'!$D$2:$D$2000,"🟢 보완")</f>
        <v/>
      </c>
      <c r="G49" s="35">
        <f>COUNTIFS('① 작업표'!$B$2:$B$2000,27,'① 작업표'!$D$2:$D$2000,"⚪ 표기")</f>
        <v/>
      </c>
      <c r="H49" s="35">
        <f>COUNTIFS('① 작업표'!$B$2:$B$2000,27,'① 작업표'!$I$2:$I$2000,"확인완료")</f>
        <v/>
      </c>
      <c r="I49" s="37">
        <f>IFERROR(H49/(C49-G49),"")</f>
        <v/>
      </c>
      <c r="J49" s="38" t="inlineStr">
        <is>
          <t>제27장 (다른 세금과의 관계) — 9건. 전부 지방세법·소득세법·종부세법 영역이다. 조정대상지역 범위·취득세 부가세목·지방세 가산세율이 🔴. 지방세는 상증세 전문가의 사각지대이므로 별도 검토자를 붙이는 편이 안전하다.</t>
        </is>
      </c>
    </row>
    <row r="50">
      <c r="A50" s="29" t="n">
        <v>28</v>
      </c>
      <c r="B50" s="34" t="inlineStr">
        <is>
          <t>상속·증여 설계와 유의사항</t>
        </is>
      </c>
      <c r="C50" s="29">
        <f>COUNTIF('① 작업표'!$B$2:$B$2000,28)</f>
        <v/>
      </c>
      <c r="D50" s="29">
        <f>COUNTIFS('① 작업표'!$B$2:$B$2000,28,'① 작업표'!$D$2:$D$2000,"🔴 최우선")</f>
        <v/>
      </c>
      <c r="E50" s="29">
        <f>COUNTIFS('① 작업표'!$B$2:$B$2000,28,'① 작업표'!$D$2:$D$2000,"🟡 중요")</f>
        <v/>
      </c>
      <c r="F50" s="29">
        <f>COUNTIFS('① 작업표'!$B$2:$B$2000,28,'① 작업표'!$D$2:$D$2000,"🟢 보완")</f>
        <v/>
      </c>
      <c r="G50" s="29">
        <f>COUNTIFS('① 작업표'!$B$2:$B$2000,28,'① 작업표'!$D$2:$D$2000,"⚪ 표기")</f>
        <v/>
      </c>
      <c r="H50" s="29">
        <f>COUNTIFS('① 작업표'!$B$2:$B$2000,28,'① 작업표'!$I$2:$I$2000,"확인완료")</f>
        <v/>
      </c>
      <c r="I50" s="30">
        <f>IFERROR(H50/(C50-G50),"")</f>
        <v/>
      </c>
      <c r="J50" s="28" t="n"/>
    </row>
    <row r="51">
      <c r="A51" s="29" t="inlineStr">
        <is>
          <t>부록</t>
        </is>
      </c>
      <c r="B51" s="34" t="inlineStr">
        <is>
          <t>부록 A~K</t>
        </is>
      </c>
      <c r="C51" s="29">
        <f>COUNTIF('① 작업표'!$B$2:$B$2000,"부록")</f>
        <v/>
      </c>
      <c r="D51" s="29">
        <f>COUNTIFS('① 작업표'!$B$2:$B$2000,"부록",'① 작업표'!$D$2:$D$2000,"🔴 최우선")</f>
        <v/>
      </c>
      <c r="E51" s="29">
        <f>COUNTIFS('① 작업표'!$B$2:$B$2000,"부록",'① 작업표'!$D$2:$D$2000,"🟡 중요")</f>
        <v/>
      </c>
      <c r="F51" s="29">
        <f>COUNTIFS('① 작업표'!$B$2:$B$2000,"부록",'① 작업표'!$D$2:$D$2000,"🟢 보완")</f>
        <v/>
      </c>
      <c r="G51" s="29">
        <f>COUNTIFS('① 작업표'!$B$2:$B$2000,"부록",'① 작업표'!$D$2:$D$2000,"⚪ 표기")</f>
        <v/>
      </c>
      <c r="H51" s="29">
        <f>COUNTIFS('① 작업표'!$B$2:$B$2000,"부록",'① 작업표'!$I$2:$I$2000,"확인완료")</f>
        <v/>
      </c>
      <c r="I51" s="30">
        <f>IFERROR(H51/(C51-G51),"")</f>
        <v/>
      </c>
      <c r="J51" s="28" t="n"/>
    </row>
    <row r="52">
      <c r="A52" s="39" t="inlineStr">
        <is>
          <t>합계</t>
        </is>
      </c>
      <c r="B52" s="40" t="n"/>
      <c r="C52" s="41">
        <f>SUM(C23:C51)</f>
        <v/>
      </c>
      <c r="D52" s="41">
        <f>SUM(D23:D51)</f>
        <v/>
      </c>
      <c r="E52" s="41">
        <f>SUM(E23:E51)</f>
        <v/>
      </c>
      <c r="F52" s="41">
        <f>SUM(F23:F51)</f>
        <v/>
      </c>
      <c r="G52" s="41">
        <f>SUM(G23:G51)</f>
        <v/>
      </c>
      <c r="H52" s="41">
        <f>SUM(H23:H51)</f>
        <v/>
      </c>
      <c r="I52" s="42">
        <f>IFERROR(H52/(C52-G52),"")</f>
        <v/>
      </c>
    </row>
    <row r="54">
      <c r="A54" s="21" t="inlineStr">
        <is>
          <t>■ 집중 검증 권고 장 — 여기부터 시작하라 (체크리스트 §0.4)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</row>
    <row r="55" ht="30" customHeight="1">
      <c r="A55" s="1" t="inlineStr">
        <is>
          <t>상태</t>
        </is>
      </c>
      <c r="B55" s="1" t="inlineStr">
        <is>
          <t>우선순위</t>
        </is>
      </c>
      <c r="C55" s="1" t="inlineStr">
        <is>
          <t>내용</t>
        </is>
      </c>
      <c r="D55" s="1" t="inlineStr"/>
      <c r="E55" s="1" t="inlineStr"/>
      <c r="F55" s="1" t="inlineStr"/>
      <c r="G55" s="1" t="inlineStr"/>
      <c r="H55" s="1" t="inlineStr"/>
      <c r="I55" s="1" t="inlineStr"/>
      <c r="J55" s="1" t="inlineStr"/>
    </row>
    <row r="56">
      <c r="A56" s="29" t="inlineStr">
        <is>
          <t>미확인</t>
        </is>
      </c>
      <c r="B56" s="29" t="inlineStr"/>
      <c r="C56" s="43" t="inlineStr">
        <is>
          <t>제3장 (상속의 민법 기초) — 11건, 최다. 🟡이 7건으로 몰려 있다. 세법이 아니라 민법이라 저자의 조사 밀도가 가장 낮았던 구간이고, 2026.2. 민법 개정(유류분·상속권 상실)이 겹쳐 개정 직후 조문을 다룬다. 유류분 관련 3건(특별수익·기여분·산입 증여 범위)은 서로 물려 있으므로 한 사람이 묶어서 보는 편이 빠르다. → 민법 전공 변호사 배정 권장.</t>
        </is>
      </c>
    </row>
    <row r="57">
      <c r="A57" s="29" t="inlineStr">
        <is>
          <t>미확인</t>
        </is>
      </c>
      <c r="B57" s="29" t="inlineStr"/>
      <c r="C57" s="43" t="inlineStr">
        <is>
          <t>제13장 (비거주자와 국제상속) — 10건, 🔴 4건으로 최다. 거주자 판정(183일 계산)·국외전출세 세율·해외금융계좌 과태료율·§53 거주자 요건이 전부 🔴다. 게다가 소득세법·국제조세조정법·조세조약이라는 이 책 바깥의 법령을 인용하는 장이라 상증세법만 아는 검토자로는 닫히지 않는다. → 국제조세 담당자 배정 권장.</t>
        </is>
      </c>
    </row>
    <row r="58">
      <c r="A58" s="29" t="inlineStr">
        <is>
          <t>미확인</t>
        </is>
      </c>
      <c r="B58" s="29" t="inlineStr"/>
      <c r="C58" s="43" t="inlineStr">
        <is>
          <t>제27장 (다른 세금과의 관계) — 9건. 전부 지방세법·소득세법·종부세법 영역이다. 조정대상지역 범위·취득세 부가세목·지방세 가산세율이 🔴. 지방세는 상증세 전문가의 사각지대이므로 별도 검토자를 붙이는 편이 안전하다.</t>
        </is>
      </c>
    </row>
    <row r="59">
      <c r="A59" s="29" t="inlineStr">
        <is>
          <t>미확인</t>
        </is>
      </c>
      <c r="B59" s="29" t="inlineStr"/>
      <c r="C59" s="43" t="inlineStr">
        <is>
          <t>제4장 (7건, 🟡 5건). §3의2 2026.1.1. 시행 개정이 걸려 있어 개정 전후 문언 대비가 필요하다. 부칙 원문까지 봐야 한다.</t>
        </is>
      </c>
    </row>
    <row r="60">
      <c r="A60" s="29" t="inlineStr">
        <is>
          <t>미확인</t>
        </is>
      </c>
      <c r="B60" s="29" t="inlineStr"/>
      <c r="C60" s="43" t="inlineStr">
        <is>
          <t>제24장 (7건, 🟡 5건). 연부연납 조문 표현이 조밀하게 몰려 있어 §71~§73을 한 번에 통독하면 5건이 동시에 닫힌다. 효율이 가장 좋은 구간.</t>
        </is>
      </c>
    </row>
    <row r="62">
      <c r="A62" s="21" t="inlineStr">
        <is>
          <t>■ 전 장 공통 — 1회 스캔으로 끝내는 작업 (체크리스트 §0.5)</t>
        </is>
      </c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</row>
    <row r="63" ht="30" customHeight="1">
      <c r="A63" s="1" t="inlineStr">
        <is>
          <t>상태</t>
        </is>
      </c>
      <c r="B63" s="1" t="inlineStr">
        <is>
          <t>우선순위</t>
        </is>
      </c>
      <c r="C63" s="1" t="inlineStr">
        <is>
          <t>내용</t>
        </is>
      </c>
      <c r="D63" s="1" t="inlineStr"/>
      <c r="E63" s="1" t="inlineStr"/>
      <c r="F63" s="1" t="inlineStr"/>
      <c r="G63" s="1" t="inlineStr"/>
      <c r="H63" s="1" t="inlineStr"/>
      <c r="I63" s="1" t="inlineStr"/>
      <c r="J63" s="1" t="inlineStr"/>
    </row>
    <row r="64">
      <c r="A64" s="29" t="inlineStr">
        <is>
          <t>완료</t>
        </is>
      </c>
      <c r="B64" s="29" t="inlineStr"/>
      <c r="C64" s="43" t="inlineStr">
        <is>
          <t>"기획재정부령" → "재정경제부령" 전 장 스캔. verify_상속재산_상속공제_원문대조.md가 "책 전체 영향 사항(최우선)"으로 지목한 항목. 2026-08-13 재확인 결과 원고에 남은 6곳은 전부 "옛 표기는 구 자료의 신호"라고 설명하는 의도된 서술(2장 2.3 함정 1·2장 오해표·2장 Q3·2장 체크리스트·22장 22.2·부록 J)이며, 현행 문언을 잘못 쓴 곳은 없다. → 해소. 다만 최종 교정 시 1회 재스캔은 남겨 둘 것.</t>
        </is>
      </c>
    </row>
    <row r="65">
      <c r="A65" s="29" t="inlineStr">
        <is>
          <t>미확인</t>
        </is>
      </c>
      <c r="B65" s="27" t="inlineStr">
        <is>
          <t>🔴 최우선</t>
        </is>
      </c>
      <c r="C65" s="43" t="inlineStr">
        <is>
          <t>모든 금액·세율·한도의 시행연도 확정. 검색 상위에 구 금액이 남아 있는 항목(동거주택 40%·5억 / 최대주주 할증 30% / 영농상속 20억 / 가산금 3.5%)은 구법이다. 원고가 현행값을 쓰고 있는지 부록 G(주요 기준금액 총괄표) 기준으로 역대조.</t>
        </is>
      </c>
    </row>
    <row r="66">
      <c r="A66" s="29" t="inlineStr">
        <is>
          <t>미확인</t>
        </is>
      </c>
      <c r="B66" s="31" t="inlineStr">
        <is>
          <t>🟡 중요</t>
        </is>
      </c>
      <c r="C66" s="43" t="inlineStr">
        <is>
          <t>모든 조문번호를 law.go.kr 현행본과 1:1 대조 (§1 경로 참조).</t>
        </is>
      </c>
    </row>
    <row r="67">
      <c r="A67" s="29" t="inlineStr">
        <is>
          <t>미확인</t>
        </is>
      </c>
      <c r="B67" s="32" t="inlineStr">
        <is>
          <t>🟢 보완</t>
        </is>
      </c>
      <c r="C67" s="43" t="inlineStr">
        <is>
          <t>모든 판례 사건번호·심판례 청구번호를 원문으로 대조. 추측 인용 금지 — 확정되지 않으면 사건번호를 빼고 법리만 서술.</t>
        </is>
      </c>
    </row>
    <row r="68">
      <c r="A68" s="29" t="inlineStr">
        <is>
          <t>미확인</t>
        </is>
      </c>
      <c r="B68" s="32" t="inlineStr">
        <is>
          <t>🟢 보완</t>
        </is>
      </c>
      <c r="C68" s="43" t="inlineStr">
        <is>
          <t>예규·집행기준·훈령은 "국세청 해석" 층위임을 문장에 드러냈는지 확인 (2장 2.1의 원칙이 전 장에 지켜졌는지).</t>
        </is>
      </c>
    </row>
    <row r="69">
      <c r="A69" s="29" t="inlineStr">
        <is>
          <t>미확인</t>
        </is>
      </c>
      <c r="B69" s="27" t="inlineStr">
        <is>
          <t>🔴 최우선</t>
        </is>
      </c>
      <c r="C69" s="43" t="inlineStr">
        <is>
          <t>계산 사례 전수 재검산. 04_examples/verify_calc.py 재실행 + 증량분 신규 사례 포함 여부 확인.</t>
        </is>
      </c>
    </row>
    <row r="70">
      <c r="A70" s="29" t="inlineStr">
        <is>
          <t>미확인</t>
        </is>
      </c>
      <c r="B70" s="31" t="inlineStr">
        <is>
          <t>🟡 중요</t>
        </is>
      </c>
      <c r="C70" s="43" t="inlineStr">
        <is>
          <t>"개정 예고" 박스가 확정 서술로 새지 않았는지 (11장 11.7 · 19장 19.8 · 20장 · 부록 G · 22장 — 전부 정부안 단계·입법 미완).</t>
        </is>
      </c>
    </row>
    <row r="72">
      <c r="A72" s="21" t="inlineStr">
        <is>
          <t>■ 보완 과제 — 마커 외 (체크리스트 §4)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</row>
    <row r="73" ht="30" customHeight="1">
      <c r="A73" s="1" t="inlineStr">
        <is>
          <t>상태</t>
        </is>
      </c>
      <c r="B73" s="1" t="inlineStr">
        <is>
          <t>우선순위</t>
        </is>
      </c>
      <c r="C73" s="1" t="inlineStr">
        <is>
          <t>내용</t>
        </is>
      </c>
      <c r="D73" s="1" t="inlineStr"/>
      <c r="E73" s="1" t="inlineStr"/>
      <c r="F73" s="1" t="inlineStr"/>
      <c r="G73" s="1" t="inlineStr"/>
      <c r="H73" s="1" t="inlineStr"/>
      <c r="I73" s="1" t="inlineStr"/>
      <c r="J73" s="1" t="inlineStr"/>
    </row>
    <row r="74">
      <c r="A74" s="29" t="inlineStr">
        <is>
          <t>미확인</t>
        </is>
      </c>
      <c r="B74" s="31" t="inlineStr">
        <is>
          <t>🟡 중요</t>
        </is>
      </c>
      <c r="C74" s="43" t="inlineStr">
        <is>
          <t>28장 · 교차 확인 — 28장의 설계 조언 중 8·9장(일괄공제·배우자공제), 17장(부담부증여 유불리), 19·11장(가업승계)의 미해소 항목에 의존하는 서술이 있는지 점검.</t>
        </is>
      </c>
    </row>
    <row r="75">
      <c r="A75" s="29" t="inlineStr">
        <is>
          <t>미확인</t>
        </is>
      </c>
      <c r="B75" s="31" t="inlineStr">
        <is>
          <t>🟡 중요</t>
        </is>
      </c>
      <c r="C75" s="43" t="inlineStr">
        <is>
          <t>부록 · 부록 G 전체 역대조 — 부록 G는 이 책의 모든 금액 기준을 모은 표다. 본문의 수치와 부록 G의 수치가 1:1로 일치하는지 전수 대조할 것(불일치가 가장 잘 숨는 곳).</t>
        </is>
      </c>
    </row>
    <row r="77">
      <c r="A77" s="21" t="inlineStr">
        <is>
          <t>■ 개정 감시 항목 — 매 세션·매 개정판 재확인 (체크리스트 §2)</t>
        </is>
      </c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</row>
    <row r="78">
      <c r="A78" s="20" t="inlineStr">
        <is>
          <t>출판 직전 이 블록을 다시 돌릴 것. 검증 시점과 출판 시점 사이에 개정이 끼면 검증 결과는 무효가 된다.</t>
        </is>
      </c>
    </row>
    <row r="79" ht="30" customHeight="1">
      <c r="A79" s="1" t="inlineStr">
        <is>
          <t>상태</t>
        </is>
      </c>
      <c r="B79" s="1" t="inlineStr">
        <is>
          <t>우선순위</t>
        </is>
      </c>
      <c r="C79" s="1" t="inlineStr">
        <is>
          <t>내용</t>
        </is>
      </c>
      <c r="D79" s="1" t="inlineStr"/>
      <c r="E79" s="1" t="inlineStr"/>
      <c r="F79" s="1" t="inlineStr"/>
      <c r="G79" s="1" t="inlineStr"/>
      <c r="H79" s="1" t="inlineStr"/>
      <c r="I79" s="1" t="inlineStr"/>
      <c r="J79" s="1" t="inlineStr"/>
    </row>
    <row r="80">
      <c r="A80" s="29" t="inlineStr">
        <is>
          <t>미확인</t>
        </is>
      </c>
      <c r="B80" s="27" t="inlineStr">
        <is>
          <t>🔴 최우선</t>
        </is>
      </c>
      <c r="C80" s="43" t="inlineStr">
        <is>
          <t>유산취득세 전환 법안 — 2025년 정기국회 미반영, 사회적 합의 후 재논의. 통과 시 이 책의 구조 자체가 바뀐다(과세 단위가 유산 총액 → 취득자별). 통과 확인 즉시 보고.</t>
        </is>
      </c>
    </row>
    <row r="81">
      <c r="A81" s="29" t="inlineStr">
        <is>
          <t>미확인</t>
        </is>
      </c>
      <c r="B81" s="27" t="inlineStr">
        <is>
          <t>🔴 최우선</t>
        </is>
      </c>
      <c r="C81" s="43" t="inlineStr">
        <is>
          <t>2026 세제개편안(2026.8.3. 발표) — 상증세 항목은 ① 가업상속공제 전면개편(경영기간 30년·한도 1,000억·승인제) ② 장애인 신탁 불산입 한도 5억→10억 ③ 금융조회 대상에 가상자산사업자 추가(2027.1.1~) ④ 상장주식 평가특례 신설(최소 30% 할증, 2027.4.1~). 전부 입법예고 단계·국회 미제출. 9월 정기국회 심의 결과 확인 필요. → 11장 11.7 · 19장 19.8 · 20장 · 22장 · 부록 G에 연동.</t>
        </is>
      </c>
    </row>
    <row r="82">
      <c r="A82" s="29" t="inlineStr">
        <is>
          <t>미확인</t>
        </is>
      </c>
      <c r="B82" s="31" t="inlineStr">
        <is>
          <t>🟡 중요</t>
        </is>
      </c>
      <c r="C82" s="43" t="inlineStr">
        <is>
          <t>2026.2. 민법 개정(유류분·상속권 상실) 시행 세부 — 3장 전반. 개정 직후라 해설·판례가 아직 얇다.</t>
        </is>
      </c>
    </row>
    <row r="83">
      <c r="A83" s="29" t="inlineStr">
        <is>
          <t>미확인</t>
        </is>
      </c>
      <c r="B83" s="32" t="inlineStr">
        <is>
          <t>🟢 보완</t>
        </is>
      </c>
      <c r="C83" s="43" t="inlineStr">
        <is>
          <t>유류분 × 유언대용신탁 대법원 선고 여부 — 2026-08-13 현재 대법원 판단 없음. 하급심이 갈려 있는 상태(수원고법 2020나11380 제외 / 창원지법 마산지원 2020가합100994 포함). 집필·개정판 직전 필수 재검색.</t>
        </is>
      </c>
    </row>
    <row r="84">
      <c r="A84" s="29" t="inlineStr">
        <is>
          <t>미확인</t>
        </is>
      </c>
      <c r="B84" s="31" t="inlineStr">
        <is>
          <t>🟡 중요</t>
        </is>
      </c>
      <c r="C84" s="43" t="inlineStr">
        <is>
          <t>매년 2월 시행령 개정분 · 매년 3월 시행규칙 개정분.</t>
        </is>
      </c>
    </row>
    <row r="85">
      <c r="A85" s="29" t="inlineStr">
        <is>
          <t>미확인</t>
        </is>
      </c>
      <c r="B85" s="32" t="inlineStr">
        <is>
          <t>🟢 보완</t>
        </is>
      </c>
      <c r="C85" s="43" t="inlineStr">
        <is>
          <t>국세청 훈령 개정분 — 사무처리규정 §42(증여추정 배제기준)·§72(부동산 감정평가 선정기준).</t>
        </is>
      </c>
    </row>
    <row r="86">
      <c r="A86" s="29" t="inlineStr">
        <is>
          <t>미확인</t>
        </is>
      </c>
      <c r="B86" s="31" t="inlineStr">
        <is>
          <t>🟡 중요</t>
        </is>
      </c>
      <c r="C86" s="43" t="inlineStr">
        <is>
          <t>2026 세제개편안 중 §22·§23·§23의2·§24 개정 없음 확인됨(2026-08-13) — 상속공제 3장(8·9·10장)은 이번 개편의 영향권 밖.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86" customWidth="1" min="3" max="3"/>
    <col width="26" customWidth="1" min="4" max="4"/>
    <col width="26" customWidth="1" min="5" max="5"/>
  </cols>
  <sheetData>
    <row r="1" ht="30" customHeight="1">
      <c r="A1" s="1" t="inlineStr">
        <is>
          <t>절</t>
        </is>
      </c>
      <c r="B1" s="1" t="inlineStr">
        <is>
          <t>구분</t>
        </is>
      </c>
      <c r="C1" s="1" t="inlineStr">
        <is>
          <t>내용 / URL / 값</t>
        </is>
      </c>
      <c r="D1" s="1" t="inlineStr"/>
      <c r="E1" s="1" t="inlineStr"/>
    </row>
    <row r="2">
      <c r="A2" s="44" t="inlineStr"/>
      <c r="B2" s="45" t="inlineStr">
        <is>
          <t>메모</t>
        </is>
      </c>
      <c r="C2" s="43" t="inlineStr">
        <is>
          <t>아래 경로는 05_review/verify_*.md 5개 파일에서 실제로 원문 취득에 성공한 경로다. 추정 경로가 아니라 실증된 경로이므로 그대로 쓰면 된다.</t>
        </is>
      </c>
      <c r="D2" s="43" t="n"/>
      <c r="E2" s="43" t="n"/>
    </row>
    <row r="3">
      <c r="A3" s="21" t="inlineStr">
        <is>
          <t>1.1  law.go.kr DRF 오픈API — 조문 축자 원문 (🔴·🟡 항목의 기본 도구)</t>
        </is>
      </c>
      <c r="B3" s="22" t="n"/>
      <c r="C3" s="22" t="n"/>
      <c r="D3" s="22" t="n"/>
      <c r="E3" s="22" t="n"/>
    </row>
    <row r="4">
      <c r="A4" s="44" t="inlineStr">
        <is>
          <t>1.1</t>
        </is>
      </c>
      <c r="B4" s="45" t="inlineStr">
        <is>
          <t>URL 패턴</t>
        </is>
      </c>
      <c r="C4" s="46" t="inlineStr">
        <is>
          <t>https://www.law.go.kr/DRF/lawService.do?OC=test&amp;target=law&amp;type=XML&amp;LM={법령명}&amp;JO={조문번호}</t>
        </is>
      </c>
      <c r="D4" s="43" t="n"/>
      <c r="E4" s="43" t="n"/>
    </row>
    <row r="5">
      <c r="A5" s="44" t="inlineStr">
        <is>
          <t>1.1</t>
        </is>
      </c>
      <c r="B5" s="45" t="inlineStr">
        <is>
          <t>설명</t>
        </is>
      </c>
      <c r="C5" s="43" t="inlineStr">
        <is>
          <t>LM = 법령명 (예: 상속세 및 증여세법, 상속세 및 증여세법 시행령)</t>
        </is>
      </c>
      <c r="D5" s="43" t="n"/>
      <c r="E5" s="43" t="n"/>
    </row>
    <row r="6">
      <c r="A6" s="44" t="inlineStr">
        <is>
          <t>1.1</t>
        </is>
      </c>
      <c r="B6" s="45" t="inlineStr">
        <is>
          <t>설명</t>
        </is>
      </c>
      <c r="C6" s="43" t="inlineStr">
        <is>
          <t>JO = 조문번호 6자리 (예: 제19조 → 001900, 제18조의2 → 001802)</t>
        </is>
      </c>
      <c r="D6" s="43" t="n"/>
      <c r="E6" s="43" t="n"/>
    </row>
    <row r="7">
      <c r="A7" s="44" t="inlineStr">
        <is>
          <t>1.1</t>
        </is>
      </c>
      <c r="B7" s="45" t="inlineStr">
        <is>
          <t>설명</t>
        </is>
      </c>
      <c r="C7" s="43" t="inlineStr">
        <is>
          <t>type=XML 대신 type=JSON도 가능. XML 본문을 직접 파싱하면 항·호 번호까지 축자로 잡힌다.</t>
        </is>
      </c>
      <c r="D7" s="43" t="n"/>
      <c r="E7" s="43" t="n"/>
    </row>
    <row r="8">
      <c r="A8" s="44" t="inlineStr">
        <is>
          <t>1.1</t>
        </is>
      </c>
      <c r="B8" s="45" t="inlineStr">
        <is>
          <t>설명</t>
        </is>
      </c>
      <c r="C8" s="43" t="inlineStr">
        <is>
          <t>버전을 고정하려면 MST를 쓴다 (LM 대신 MST={번호}). 2026-08-13 확인된 MST:</t>
        </is>
      </c>
      <c r="D8" s="43" t="n"/>
      <c r="E8" s="43" t="n"/>
    </row>
    <row r="9">
      <c r="A9" s="44" t="inlineStr">
        <is>
          <t>1.1</t>
        </is>
      </c>
      <c r="B9" s="45" t="inlineStr">
        <is>
          <t>표 머리</t>
        </is>
      </c>
      <c r="C9" s="43" t="inlineStr">
        <is>
          <t>법령</t>
        </is>
      </c>
      <c r="D9" s="43" t="inlineStr">
        <is>
          <t>버전</t>
        </is>
      </c>
      <c r="E9" s="43" t="inlineStr">
        <is>
          <t>MST</t>
        </is>
      </c>
    </row>
    <row r="10">
      <c r="A10" s="44" t="inlineStr">
        <is>
          <t>1.1</t>
        </is>
      </c>
      <c r="B10" s="45" t="inlineStr">
        <is>
          <t>표</t>
        </is>
      </c>
      <c r="C10" s="43" t="inlineStr">
        <is>
          <t>상속세 및 증여세법</t>
        </is>
      </c>
      <c r="D10" s="43" t="inlineStr">
        <is>
          <t>법률 제21065호 (시행 2026.1.2.)</t>
        </is>
      </c>
      <c r="E10" s="43" t="inlineStr">
        <is>
          <t>276123</t>
        </is>
      </c>
    </row>
    <row r="11">
      <c r="A11" s="44" t="inlineStr">
        <is>
          <t>1.1</t>
        </is>
      </c>
      <c r="B11" s="45" t="inlineStr">
        <is>
          <t>표</t>
        </is>
      </c>
      <c r="C11" s="43" t="inlineStr">
        <is>
          <t>상속세 및 증여세법 시행령</t>
        </is>
      </c>
      <c r="D11" s="43" t="inlineStr">
        <is>
          <t>대통령령 제36131호 (시행 2026.2.27.)</t>
        </is>
      </c>
      <c r="E11" s="43" t="inlineStr">
        <is>
          <t>283637</t>
        </is>
      </c>
    </row>
    <row r="12">
      <c r="A12" s="44" t="inlineStr">
        <is>
          <t>1.1</t>
        </is>
      </c>
      <c r="B12" s="45" t="inlineStr">
        <is>
          <t>표</t>
        </is>
      </c>
      <c r="C12" s="43" t="inlineStr">
        <is>
          <t>상속세 및 증여세법 시행규칙</t>
        </is>
      </c>
      <c r="D12" s="43" t="inlineStr">
        <is>
          <t>재정경제부령 (시행 2026.3.20.)</t>
        </is>
      </c>
      <c r="E12" s="43" t="inlineStr">
        <is>
          <t>284609</t>
        </is>
      </c>
    </row>
    <row r="13">
      <c r="A13" s="44" t="inlineStr">
        <is>
          <t>1.1</t>
        </is>
      </c>
      <c r="B13" s="45" t="inlineStr">
        <is>
          <t>메모</t>
        </is>
      </c>
      <c r="C13" s="43" t="inlineStr">
        <is>
          <t>MST는 법령의 특정 버전을 가리킨다. 개정되면 새 MST가 생기므로, 위 번호는 "2026년의 이 버전"을 다시 불러오는 좌표이기도 하다. 감정·심판청구·의견서처럼 근거를 남겨야 하는 실무에서는 화면 캡처보다 버전이 특정된 원문 텍스트가 훨씬 강하다.</t>
        </is>
      </c>
      <c r="D13" s="43" t="n"/>
      <c r="E13" s="43" t="n"/>
    </row>
    <row r="14">
      <c r="A14" s="21" t="inlineStr">
        <is>
          <t>1.2  ⚠ 함정 — 화면 페이지는 본문을 주지 않는다</t>
        </is>
      </c>
      <c r="B14" s="22" t="n"/>
      <c r="C14" s="22" t="n"/>
      <c r="D14" s="22" t="n"/>
      <c r="E14" s="22" t="n"/>
    </row>
    <row r="15">
      <c r="A15" s="44" t="inlineStr">
        <is>
          <t>1.2</t>
        </is>
      </c>
      <c r="B15" s="47" t="inlineStr">
        <is>
          <t>주의</t>
        </is>
      </c>
      <c r="C15" s="43" t="inlineStr">
        <is>
          <t>law.go.kr의 일반 조문 화면은 프레임(frame) 구조여서, URL을 그대로 긁으면 본문이 아니라 껍데기만 잡힌다. 이 함정 때문에 2차 출처(블로그·세무 포털)로 새는 사고가 반복된다. 반드시 §1.1의 DRF API 또는 아래 인쇄뷰를 쓸 것.</t>
        </is>
      </c>
      <c r="D15" s="43" t="n"/>
      <c r="E15" s="43" t="n"/>
    </row>
    <row r="16">
      <c r="A16" s="44" t="inlineStr">
        <is>
          <t>1.2</t>
        </is>
      </c>
      <c r="B16" s="45" t="inlineStr">
        <is>
          <t>설명</t>
        </is>
      </c>
      <c r="C16" s="43" t="inlineStr">
        <is>
          <t>인쇄뷰 경로(실증됨):</t>
        </is>
      </c>
      <c r="D16" s="43" t="n"/>
      <c r="E16" s="43" t="n"/>
    </row>
    <row r="17">
      <c r="A17" s="44" t="inlineStr">
        <is>
          <t>1.2</t>
        </is>
      </c>
      <c r="B17" s="45" t="inlineStr">
        <is>
          <t>URL 패턴</t>
        </is>
      </c>
      <c r="C17" s="46" t="inlineStr">
        <is>
          <t>https://www.law.go.kr/lsLawLinkInfo.do?lsJoLnkSeq={SEQ}&amp;lsId={ID}&amp;chrClsCd=010202&amp;print=print</t>
        </is>
      </c>
      <c r="D17" s="43" t="n"/>
      <c r="E17" s="43" t="n"/>
    </row>
    <row r="18">
      <c r="A18" s="44" t="inlineStr">
        <is>
          <t>1.2</t>
        </is>
      </c>
      <c r="B18" s="45" t="inlineStr">
        <is>
          <t>설명</t>
        </is>
      </c>
      <c r="C18" s="43" t="inlineStr">
        <is>
          <t>확인된 값 — 법 제4장(제60~66조): lsJoLnkSeq=900368850&amp;lsId=001561 / 시행령 제63조: lsJoLnkSeq=1000087016</t>
        </is>
      </c>
      <c r="D18" s="43" t="n"/>
      <c r="E18" s="43" t="n"/>
    </row>
    <row r="19">
      <c r="A19" s="44" t="inlineStr">
        <is>
          <t>1.2</t>
        </is>
      </c>
      <c r="B19" s="45" t="inlineStr">
        <is>
          <t>설명</t>
        </is>
      </c>
      <c r="C19" s="43" t="inlineStr">
        <is>
          <t>그 밖에 본문 취득에 성공한 경로: lsLinkCommonInfo.do(법 제60~66조), lumLsLinkPop.do(시행령 제50조·제52조의2)</t>
        </is>
      </c>
      <c r="D19" s="43" t="n"/>
      <c r="E19" s="43" t="n"/>
    </row>
    <row r="20">
      <c r="A20" s="44" t="inlineStr">
        <is>
          <t>1.2</t>
        </is>
      </c>
      <c r="B20" s="47" t="inlineStr">
        <is>
          <t>주의</t>
        </is>
      </c>
      <c r="C20" s="43" t="inlineStr">
        <is>
          <t>연혁법령(구법) API는 500 오류가 잦다. 구법 원문(가업상속 기간별 추징률 표 등)은 이 경로로 취득 실패한 이력이 있으므로, 국회 의안정보시스템·관보 아카이브를 대안으로 준비할 것.</t>
        </is>
      </c>
      <c r="D20" s="43" t="n"/>
      <c r="E20" s="43" t="n"/>
    </row>
    <row r="21">
      <c r="A21" s="44" t="inlineStr">
        <is>
          <t>1.2</t>
        </is>
      </c>
      <c r="B21" s="45" t="inlineStr">
        <is>
          <t>설명</t>
        </is>
      </c>
      <c r="C21" s="43" t="inlineStr">
        <is>
          <t>한계 — 이미지 수식. 법 제19조 제1항 제1호의 배우자상속공제 한도식은 law.go.kr 게재본이 이미지여서 API로도 축자 텍스트가 나오지 않는다. 이런 항목은 종이 법전 또는 관보로 대조해야 한다.</t>
        </is>
      </c>
      <c r="D21" s="43" t="n"/>
      <c r="E21" s="43" t="n"/>
    </row>
    <row r="22">
      <c r="A22" s="21" t="inlineStr">
        <is>
          <t>1.3  판례 — 대법원 종합법률정보</t>
        </is>
      </c>
      <c r="B22" s="22" t="n"/>
      <c r="C22" s="22" t="n"/>
      <c r="D22" s="22" t="n"/>
      <c r="E22" s="22" t="n"/>
    </row>
    <row r="23">
      <c r="A23" s="44" t="inlineStr">
        <is>
          <t>1.3</t>
        </is>
      </c>
      <c r="B23" s="45" t="inlineStr">
        <is>
          <t>설명</t>
        </is>
      </c>
      <c r="C23" s="43" t="inlineStr">
        <is>
          <t>https://lx.scourt.go.kr 판례 검색. 상세 URL 패턴(실증): lx.scourt.go.kr/search/detail/precedent/0/2026000036467 (대법원 2026.4.2. 선고 2025두35499)</t>
        </is>
      </c>
      <c r="D23" s="43" t="n"/>
      <c r="E23" s="43" t="n"/>
    </row>
    <row r="24">
      <c r="A24" s="44" t="inlineStr">
        <is>
          <t>1.3</t>
        </is>
      </c>
      <c r="B24" s="45" t="inlineStr">
        <is>
          <t>설명</t>
        </is>
      </c>
      <c r="C24" s="43" t="inlineStr">
        <is>
          <t>언론 보도로만 확인된 사건번호는 인용하지 않는다. 원고의 21장 판례 2건이 여기에 해당한다(언론 3곳 교차확인 상태, 공식 DB 미대조).</t>
        </is>
      </c>
      <c r="D24" s="43" t="n"/>
      <c r="E24" s="43" t="n"/>
    </row>
    <row r="25">
      <c r="A25" s="44" t="inlineStr">
        <is>
          <t>1.3</t>
        </is>
      </c>
      <c r="B25" s="45" t="inlineStr">
        <is>
          <t>설명</t>
        </is>
      </c>
      <c r="C25" s="43" t="inlineStr">
        <is>
          <t>하급심(행정법원·고등법원) 사건은 공개 범위가 좁다. 확정 여부·상급심 진행을 확인하지 못하면 "~라고 본 하급심 판결이 있다" 수준으로 낮춰 쓴다.</t>
        </is>
      </c>
      <c r="D25" s="43" t="n"/>
      <c r="E25" s="43" t="n"/>
    </row>
    <row r="26">
      <c r="A26" s="21" t="inlineStr">
        <is>
          <t>1.4  예규·집행기준·심판례</t>
        </is>
      </c>
      <c r="B26" s="22" t="n"/>
      <c r="C26" s="22" t="n"/>
      <c r="D26" s="22" t="n"/>
      <c r="E26" s="22" t="n"/>
    </row>
    <row r="27">
      <c r="A27" s="44" t="inlineStr">
        <is>
          <t>1.4</t>
        </is>
      </c>
      <c r="B27" s="45" t="inlineStr">
        <is>
          <t>설명</t>
        </is>
      </c>
      <c r="C27" s="43" t="inlineStr">
        <is>
          <t>국세법령정보시스템 https://txsi.hometax.go.kr — 예규(사전-2023-법규재산-0247 형식)·집행기준·질의회신 원문. 원고가 인용한 예규는 대부분 2차 출처 경유이므로 문서번호가 실재하는지부터 확인할 것.</t>
        </is>
      </c>
      <c r="D27" s="43" t="n"/>
      <c r="E27" s="43" t="n"/>
    </row>
    <row r="28">
      <c r="A28" s="44" t="inlineStr">
        <is>
          <t>1.4</t>
        </is>
      </c>
      <c r="B28" s="45" t="inlineStr">
        <is>
          <t>설명</t>
        </is>
      </c>
      <c r="C28" s="43" t="inlineStr">
        <is>
          <t>조세심판원 https://www.tt.go.kr — 심판례(조심 2024중5770 형식).</t>
        </is>
      </c>
      <c r="D28" s="43" t="n"/>
      <c r="E28" s="43" t="n"/>
    </row>
    <row r="29">
      <c r="A29" s="44" t="inlineStr">
        <is>
          <t>1.4</t>
        </is>
      </c>
      <c r="B29" s="45" t="inlineStr">
        <is>
          <t>설명</t>
        </is>
      </c>
      <c r="C29" s="43" t="inlineStr">
        <is>
          <t>예규·집행기준은 법이 아니라 국세청 해석이다. 인용할 때 반드시 층위를 문장에 드러낸다("국세청 해석(사전-2025-법규재산-0190)에 따르면").</t>
        </is>
      </c>
      <c r="D29" s="43" t="n"/>
      <c r="E29" s="43" t="n"/>
    </row>
    <row r="30">
      <c r="A30" s="21" t="inlineStr">
        <is>
          <t>1.5  훈령·통계·기타</t>
        </is>
      </c>
      <c r="B30" s="22" t="n"/>
      <c r="C30" s="22" t="n"/>
      <c r="D30" s="22" t="n"/>
      <c r="E30" s="22" t="n"/>
    </row>
    <row r="31">
      <c r="A31" s="44" t="inlineStr">
        <is>
          <t>1.5</t>
        </is>
      </c>
      <c r="B31" s="45" t="inlineStr">
        <is>
          <t>설명</t>
        </is>
      </c>
      <c r="C31" s="43" t="inlineStr">
        <is>
          <t>국세청 훈령 — 「상속세 및 증여세 사무처리규정」(제2760호, 시행 2026.8.3.), 「평가심의위원회 운영 규정」(제2545호, 2022.12.22.). 국세청 누리집 훈령·예규 게시판. 훈령은 개정이 잦다 — 증여추정 배제기준(§42)·부동산 감정평가 선정기준(§72)은 매 개정판 재확인 대상.</t>
        </is>
      </c>
      <c r="D31" s="43" t="n"/>
      <c r="E31" s="43" t="n"/>
    </row>
    <row r="32">
      <c r="A32" s="44" t="inlineStr">
        <is>
          <t>1.5</t>
        </is>
      </c>
      <c r="B32" s="45" t="inlineStr">
        <is>
          <t>설명</t>
        </is>
      </c>
      <c r="C32" s="43" t="inlineStr">
        <is>
          <t>국세통계포털(TASIS) https://tasis.nts.go.kr — 과세인원·결정세액 등 통계 원자료. 언론 인용 수치를 그대로 쓰지 말 것.</t>
        </is>
      </c>
      <c r="D32" s="43" t="n"/>
      <c r="E32" s="43" t="n"/>
    </row>
    <row r="33">
      <c r="A33" s="44" t="inlineStr">
        <is>
          <t>1.5</t>
        </is>
      </c>
      <c r="B33" s="45" t="inlineStr">
        <is>
          <t>설명</t>
        </is>
      </c>
      <c r="C33" s="43" t="inlineStr">
        <is>
          <t>국가법령정보센터 부칙·신구조문대비표 — 개정 전후 문언 대비(4장 §3의2·23장 국기법 §47의4에 필수).</t>
        </is>
      </c>
      <c r="D33" s="43" t="n"/>
      <c r="E33" s="43" t="n"/>
    </row>
    <row r="34">
      <c r="A34" s="21" t="inlineStr">
        <is>
          <t>1.6  확인할 때의 기록 규칙</t>
        </is>
      </c>
      <c r="B34" s="22" t="n"/>
      <c r="C34" s="22" t="n"/>
      <c r="D34" s="22" t="n"/>
      <c r="E34" s="22" t="n"/>
    </row>
    <row r="35">
      <c r="A35" s="44" t="inlineStr">
        <is>
          <t>1.6</t>
        </is>
      </c>
      <c r="B35" s="45" t="inlineStr">
        <is>
          <t>기록 규칙</t>
        </is>
      </c>
      <c r="C35" s="43" t="inlineStr">
        <is>
          <t>[ ] 확인한 항목은 조회일자·법령 버전(법률호수/MST)·조회 URL을 각주 또는 원문대조_작업표.xlsx에 남긴다.</t>
        </is>
      </c>
      <c r="D35" s="43" t="n"/>
      <c r="E35" s="43" t="n"/>
    </row>
    <row r="36">
      <c r="A36" s="44" t="inlineStr">
        <is>
          <t>1.6</t>
        </is>
      </c>
      <c r="B36" s="45" t="inlineStr">
        <is>
          <t>기록 규칙</t>
        </is>
      </c>
      <c r="C36" s="43" t="inlineStr">
        <is>
          <t>[ ] 확인 결과 원고가 틀렸으면 수정하고, 확정하지 못했으면 마커를 지우지 말 것. 확정하지 못한 것을 확정한 것처럼 쓰는 것이 이 책이 가장 피하려는 실패다.</t>
        </is>
      </c>
      <c r="D36" s="43" t="n"/>
      <c r="E36" s="43" t="n"/>
    </row>
    <row r="37">
      <c r="A37" s="44" t="inlineStr">
        <is>
          <t>1.6</t>
        </is>
      </c>
      <c r="B37" s="45" t="inlineStr">
        <is>
          <t>기록 규칙</t>
        </is>
      </c>
      <c r="C37" s="43" t="inlineStr">
        <is>
          <t>[ ] 확정된 항목은 원고의 [검증필요] 마커를 삭제하고 출처 각주로 교체한다.</t>
        </is>
      </c>
      <c r="D37" s="43" t="n"/>
      <c r="E37" s="43" t="n"/>
    </row>
  </sheetData>
  <autoFilter ref="A1:E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96" customWidth="1" min="3" max="3"/>
    <col width="40" customWidth="1" min="4" max="4"/>
    <col width="28" customWidth="1" min="5" max="5"/>
  </cols>
  <sheetData>
    <row r="1" ht="30" customHeight="1">
      <c r="A1" s="1" t="inlineStr">
        <is>
          <t>구분</t>
        </is>
      </c>
      <c r="B1" s="1" t="inlineStr">
        <is>
          <t>분류</t>
        </is>
      </c>
      <c r="C1" s="1" t="inlineStr">
        <is>
          <t>확정 사항 — 재검증 대상 아님</t>
        </is>
      </c>
      <c r="D1" s="1" t="inlineStr">
        <is>
          <t>출처</t>
        </is>
      </c>
      <c r="E1" s="1" t="inlineStr">
        <is>
          <t>비고</t>
        </is>
      </c>
    </row>
    <row r="2">
      <c r="A2" s="20" t="inlineStr">
        <is>
          <t>여기 적힌 것은 원문 대조가 끝난 사실이다. 원고가 이와 다르게 쓰고 있다면 원고가 틀린 것이다. 재검토 시 중복 작업을 막는 용도.</t>
        </is>
      </c>
    </row>
    <row r="3">
      <c r="A3" s="21" t="inlineStr">
        <is>
          <t>■ 근거 파일 — 05_review/verify_*.md (1차 출처 취득 성공분)</t>
        </is>
      </c>
      <c r="B3" s="22" t="n"/>
      <c r="C3" s="22" t="n"/>
      <c r="D3" s="22" t="n"/>
      <c r="E3" s="22" t="n"/>
    </row>
    <row r="4">
      <c r="A4" s="48" t="inlineStr">
        <is>
          <t>근거 파일</t>
        </is>
      </c>
      <c r="B4" s="49" t="inlineStr">
        <is>
          <t>verify_61조63조_원문대조.md</t>
        </is>
      </c>
      <c r="C4" s="49" t="inlineStr">
        <is>
          <t>조문 원문대조 검증 결과 — 법 제61조·제63조 (2026-08-13, 22장 검수용)</t>
        </is>
      </c>
      <c r="D4" s="49" t="inlineStr">
        <is>
          <t>law.go.kr lsLinkCommonInfo.do (법 제60~66조 원문) · lumLsLinkPop.do (시행령 제50조·제52조의2)</t>
        </is>
      </c>
      <c r="E4" s="49" t="inlineStr">
        <is>
          <t>상속세 및 증여세법 [시행 2026. 1. 2.] [법률 제21065호] / 시행령 [시행 2026. 2. 27.] [대통령령 제36131호]</t>
        </is>
      </c>
    </row>
    <row r="5">
      <c r="A5" s="48" t="inlineStr">
        <is>
          <t>근거 파일</t>
        </is>
      </c>
      <c r="B5" s="49" t="inlineStr">
        <is>
          <t>verify_66조_할증평가_원문대조.md</t>
        </is>
      </c>
      <c r="C5" s="49" t="inlineStr">
        <is>
          <t>조문 원문대조 검증 결과 — 법 제66조(저당권 특례)·제63조 제3항(최대주주 할증) (2026-08-13, 21·22장 검수용)</t>
        </is>
      </c>
      <c r="D5" s="49" t="inlineStr">
        <is>
          <t>law.go.kr lsLawLinkInfo.do?lsJoLnkSeq={SEQ}&amp;lsId={ID}&amp;chrClsCd=010202&amp;print=print — 법 제4장(제60~66조): lsJoLnkSeq=900368850&amp;lsId=001561 / 시행령 제63조: lsJoLnkSeq=1000087016</t>
        </is>
      </c>
      <c r="E5" s="49" t="inlineStr">
        <is>
          <t>법률 제21065호(시행 2026.1.2.) / 시행령 제36131호(시행 2026.2.27.)</t>
        </is>
      </c>
    </row>
    <row r="6">
      <c r="A6" s="48" t="inlineStr">
        <is>
          <t>근거 파일</t>
        </is>
      </c>
      <c r="B6" s="49" t="inlineStr">
        <is>
          <t>verify_가업상속_추징률_이자상당액.md</t>
        </is>
      </c>
      <c r="C6" s="49" t="inlineStr">
        <is>
          <t>원문대조 검증 결과 — 가업상속공제 추징률·이자상당액 (2026-08-13, 11·19장 검수용)</t>
        </is>
      </c>
      <c r="D6" s="49" t="inlineStr">
        <is>
          <t>law.go.kr DRF OPEN API로 조문 XML 원문 직접 취득 (인쇄뷰 + API 2회 독립 취득 일치).</t>
        </is>
      </c>
      <c r="E6" s="49" t="inlineStr"/>
    </row>
    <row r="7">
      <c r="A7" s="48" t="inlineStr">
        <is>
          <t>근거 파일</t>
        </is>
      </c>
      <c r="B7" s="49" t="inlineStr">
        <is>
          <t>verify_상속재산_상속공제_원문대조.md</t>
        </is>
      </c>
      <c r="C7" s="49" t="inlineStr">
        <is>
          <t>원문대조 검증 결과 — 상속재산(§8~§15)·상속공제(§22~§24) (2026-08-13)</t>
        </is>
      </c>
      <c r="D7" s="49" t="inlineStr">
        <is>
          <t>law.go.kr DRF OPEN API(lawService.do)로 XML 원문 직접 파싱 — 축자 원문 수준. 프레임 페이지 우회 성공 경로.</t>
        </is>
      </c>
      <c r="E7" s="49" t="inlineStr"/>
    </row>
    <row r="8">
      <c r="A8" s="48" t="inlineStr">
        <is>
          <t>근거 파일</t>
        </is>
      </c>
      <c r="B8" s="49" t="inlineStr">
        <is>
          <t>verify_평가심의위_감정평가사업_원문대조.md</t>
        </is>
      </c>
      <c r="C8" s="49" t="inlineStr">
        <is>
          <t>원문대조 검증 결과 — 평가심의위원회·부동산 감정평가 사업 (2026-08-13, 21·22장 검수용)</t>
        </is>
      </c>
      <c r="D8" s="49" t="inlineStr">
        <is>
          <t>05_review/verify_평가심의위_감정평가사업_원문대조.md (파일 본문에 경로 기재)</t>
        </is>
      </c>
      <c r="E8" s="49" t="inlineStr"/>
    </row>
    <row r="10">
      <c r="A10" s="21" t="inlineStr">
        <is>
          <t>■ verify 확정 사항 — 원고 반영 확인 대상 (체크리스트 §3)</t>
        </is>
      </c>
      <c r="B10" s="22" t="n"/>
      <c r="C10" s="22" t="n"/>
      <c r="D10" s="22" t="n"/>
      <c r="E10" s="22" t="n"/>
    </row>
    <row r="11">
      <c r="A11" s="48" t="inlineStr">
        <is>
          <t>§3 확정</t>
        </is>
      </c>
      <c r="B11" s="49" t="inlineStr">
        <is>
          <t>3.1 상속재산 (5장)</t>
        </is>
      </c>
      <c r="C11" s="49" t="inlineStr">
        <is>
          <t>시행령 §11⑤ 재산 3분류의 호 번호 함정 — 1호 현금·예금·유가증권 / 2호 부동산 및 부동산에 관한 권리 / 3호 삭제(1998.12.31) / 4호 = 기타 재산 / 5호 삭제. "기타재산 = 제3호"는 오류. 근거 항은 §11①이 아니라 §11⑤.</t>
        </is>
      </c>
      <c r="D11" s="49" t="inlineStr">
        <is>
          <t>law.go.kr 원문 (verify_*.md)</t>
        </is>
      </c>
      <c r="E11" s="49" t="inlineStr"/>
    </row>
    <row r="12">
      <c r="A12" s="48" t="inlineStr">
        <is>
          <t>§3 확정</t>
        </is>
      </c>
      <c r="B12" s="49" t="inlineStr">
        <is>
          <t>3.1 상속재산 (5장)</t>
        </is>
      </c>
      <c r="C12" s="49" t="inlineStr">
        <is>
          <t>법 §9③ 수익자연속신탁(2020.12.22 신설) 서술 유무 — 20장과 연동.</t>
        </is>
      </c>
      <c r="D12" s="49" t="inlineStr">
        <is>
          <t>law.go.kr 원문 (verify_*.md)</t>
        </is>
      </c>
      <c r="E12" s="49" t="inlineStr"/>
    </row>
    <row r="13">
      <c r="A13" s="48" t="inlineStr">
        <is>
          <t>§3 확정</t>
        </is>
      </c>
      <c r="B13" s="49" t="inlineStr">
        <is>
          <t>3.1 상속재산 (5장)</t>
        </is>
      </c>
      <c r="C13" s="49" t="inlineStr">
        <is>
          <t>법 §10 제2·3호에 「공무원 재해보상법」·「군인 재해보상법」 추가(2018.3.20) 반영.</t>
        </is>
      </c>
      <c r="D13" s="49" t="inlineStr">
        <is>
          <t>law.go.kr 원문 (verify_*.md)</t>
        </is>
      </c>
      <c r="E13" s="49" t="inlineStr"/>
    </row>
    <row r="14">
      <c r="A14" s="48" t="inlineStr">
        <is>
          <t>§3 확정</t>
        </is>
      </c>
      <c r="B14" s="49" t="inlineStr">
        <is>
          <t>3.1 상속재산 (5장)</t>
        </is>
      </c>
      <c r="C14" s="49" t="inlineStr">
        <is>
          <t>소명 판정은 적극적 인정 목록이 아니라 시행령 §11② 5가지 부정 요건으로 이루어진다. "병원비는 인정" 식 카탈로그를 썼다면 "실무상 통용되는 예시"로 격하 표기.</t>
        </is>
      </c>
      <c r="D14" s="49" t="inlineStr">
        <is>
          <t>law.go.kr 원문 (verify_*.md)</t>
        </is>
      </c>
      <c r="E14" s="49" t="inlineStr"/>
    </row>
    <row r="15">
      <c r="A15" s="48" t="inlineStr">
        <is>
          <t>§3 확정</t>
        </is>
      </c>
      <c r="B15" s="49" t="inlineStr">
        <is>
          <t>3.1 상속재산 (5장)</t>
        </is>
      </c>
      <c r="C15" s="49" t="inlineStr">
        <is>
          <t>금융조회 근거 3단: 법 §83(국세청장·지방국세청장 한정) → 금융실명법 §4①2호·§4⑥5호 → 사무처리규정 §36.</t>
        </is>
      </c>
      <c r="D15" s="49" t="inlineStr">
        <is>
          <t>law.go.kr 원문 (verify_*.md)</t>
        </is>
      </c>
      <c r="E15" s="49" t="inlineStr"/>
    </row>
    <row r="16">
      <c r="A16" s="48" t="inlineStr">
        <is>
          <t>§3 확정</t>
        </is>
      </c>
      <c r="B16" s="49" t="inlineStr">
        <is>
          <t>3.2 상속공제 (8·9·10장)</t>
        </is>
      </c>
      <c r="C16" s="49" t="inlineStr">
        <is>
          <t>§24 종합한도 표현 4건 정정 — ① "상속인이 아닌 자" → "선순위인 상속인이 아닌 자" ② "상속인의 상속포기로" → "선순위인 상속인의 상속 포기로" ③ "사전증여재산 과세표준" → "증여재산가액(§53·§53의2·§54 공제액 차감 후)"(감정평가수수료 §55①은 차감하지 않으므로 증여세 과세표준과 다르다) ④ 인용 조문은 "제18조, 제18조의2, 제18조의3, 제19조부터 제23조까지 및 제23조의2" — "제18조부터 제23조까지"는 구법.</t>
        </is>
      </c>
      <c r="D16" s="49" t="inlineStr">
        <is>
          <t>law.go.kr 원문 (verify_*.md)</t>
        </is>
      </c>
      <c r="E16" s="49" t="inlineStr">
        <is>
          <t>🔴</t>
        </is>
      </c>
    </row>
    <row r="17">
      <c r="A17" s="48" t="inlineStr">
        <is>
          <t>§3 확정</t>
        </is>
      </c>
      <c r="B17" s="49" t="inlineStr">
        <is>
          <t>3.2 상속공제 (8·9·10장)</t>
        </is>
      </c>
      <c r="C17" s="49" t="inlineStr">
        <is>
          <t>동거주택상속공제(§23의2) 현행 100%·6억 (40%·5억, 80%·5억은 구법). 동거 기간 특례 3단 구조: 법 §23의2② → 시행령 §20의2② → 시행규칙 §9의2.</t>
        </is>
      </c>
      <c r="D17" s="49" t="inlineStr">
        <is>
          <t>law.go.kr 원문 (verify_*.md)</t>
        </is>
      </c>
      <c r="E17" s="49" t="inlineStr">
        <is>
          <t>🔴</t>
        </is>
      </c>
    </row>
    <row r="18">
      <c r="A18" s="48" t="inlineStr">
        <is>
          <t>§3 확정</t>
        </is>
      </c>
      <c r="B18" s="49" t="inlineStr">
        <is>
          <t>3.2 상속공제 (8·9·10장)</t>
        </is>
      </c>
      <c r="C18" s="49" t="inlineStr">
        <is>
          <t>금융재산상속공제(§22) — 2천만 초과 시 max(20%, 2천만), 2천만 이하 전액, 2억 한도, 거주자 한정. 범위는 시행령 §19①.</t>
        </is>
      </c>
      <c r="D18" s="49" t="inlineStr">
        <is>
          <t>law.go.kr 원문 (verify_*.md)</t>
        </is>
      </c>
      <c r="E18" s="49" t="inlineStr">
        <is>
          <t>🔴</t>
        </is>
      </c>
    </row>
    <row r="19">
      <c r="A19" s="48" t="inlineStr">
        <is>
          <t>§3 확정</t>
        </is>
      </c>
      <c r="B19" s="49" t="inlineStr">
        <is>
          <t>3.2 상속공제 (8·9·10장)</t>
        </is>
      </c>
      <c r="C19" s="49" t="inlineStr">
        <is>
          <t>재해손실공제(§23) '재난' 정의는 시행령 §20①.</t>
        </is>
      </c>
      <c r="D19" s="49" t="inlineStr">
        <is>
          <t>law.go.kr 원문 (verify_*.md)</t>
        </is>
      </c>
      <c r="E19" s="49" t="inlineStr">
        <is>
          <t>🟡</t>
        </is>
      </c>
    </row>
    <row r="20">
      <c r="A20" s="48" t="inlineStr">
        <is>
          <t>§3 확정</t>
        </is>
      </c>
      <c r="B20" s="49" t="inlineStr">
        <is>
          <t>3.3 가업상속·가업승계 (11·19장)</t>
        </is>
      </c>
      <c r="C20" s="49" t="inlineStr">
        <is>
          <t>기간별 추징률 표는 현행법에 없다. 일률 100% (시행령 §15⑮ "100분의 100", 영농은 §16⑦ 동일). 위반유형별 차이는 기간이 아니라 곱셈 인자 — 1호(자산 40%↑ 처분)만 × 자산처분비율, 2·3·4호는 100%. 실무 문헌이 지금도 "기간별 추징율"이라는 용어를 쓰지만 현행 값은 100% 하나다.</t>
        </is>
      </c>
      <c r="D20" s="49" t="inlineStr">
        <is>
          <t>law.go.kr 원문 (verify_*.md)</t>
        </is>
      </c>
      <c r="E20" s="49" t="inlineStr">
        <is>
          <t>🔴</t>
        </is>
      </c>
    </row>
    <row r="21">
      <c r="A21" s="48" t="inlineStr">
        <is>
          <t>§3 확정</t>
        </is>
      </c>
      <c r="B21" s="49" t="inlineStr">
        <is>
          <t>3.3 가업상속·가업승계 (11·19장)</t>
        </is>
      </c>
      <c r="C21" s="49" t="inlineStr">
        <is>
          <t>이자상당액 이자율은 두 제도가 2.6배 다르다 — 상증법 가업·영농상속공제 연 3.1%(1일 10만분의 8.49; 상증령 §15⑯3호 → 국기령 §43의3② 본문 → 국기칙 §19의3) vs 조특법 가업승계 증여특례 1일 10만분의 22(연 8.03%; 조특령 §27의6⑤3호 → §11의2⑩2호). 같은 표에 넣을 때 반드시 분리 표기.</t>
        </is>
      </c>
      <c r="D21" s="49" t="inlineStr">
        <is>
          <t>law.go.kr 원문 (verify_*.md)</t>
        </is>
      </c>
      <c r="E21" s="49" t="inlineStr">
        <is>
          <t>🔴</t>
        </is>
      </c>
    </row>
    <row r="22">
      <c r="A22" s="48" t="inlineStr">
        <is>
          <t>§3 확정</t>
        </is>
      </c>
      <c r="B22" s="49" t="inlineStr">
        <is>
          <t>3.3 가업상속·가업승계 (11·19장)</t>
        </is>
      </c>
      <c r="C22" s="49" t="inlineStr">
        <is>
          <t>상증법이 인용하는 것은 국세환급가산금 이자율이지 납부지연가산세가 아니며, "제2항 본문"만 인용하므로 1.5배 단서 미적용. 조문이 "상속세의 부과 당시의 이자율"이라 못박으므로 부과 시점 단일 요율을 전 기간에 적용(기간을 잘라 나누지 않는다).</t>
        </is>
      </c>
      <c r="D22" s="49" t="inlineStr">
        <is>
          <t>law.go.kr 원문 (verify_*.md)</t>
        </is>
      </c>
      <c r="E22" s="49" t="inlineStr">
        <is>
          <t>🟡</t>
        </is>
      </c>
    </row>
    <row r="23">
      <c r="A23" s="48" t="inlineStr">
        <is>
          <t>§3 확정</t>
        </is>
      </c>
      <c r="B23" s="49" t="inlineStr">
        <is>
          <t>3.4 평가 (21·22장)</t>
        </is>
      </c>
      <c r="C23" s="49" t="inlineStr">
        <is>
          <t>최대주주 할증은 일률 20%. "50% 초과 시 30%", "중소기업 10~15%"는 전부 폐지된 구법 — 게재 금지(2020.1.1.부터 단일 20%). 할증 제외: 중소기업·중견기업·3년 이상 계속 결손 법인. 중소기업 정의는 중소기업기본법 §2(조특법 아님).</t>
        </is>
      </c>
      <c r="D23" s="49" t="inlineStr">
        <is>
          <t>law.go.kr 원문 (verify_*.md)</t>
        </is>
      </c>
      <c r="E23" s="49" t="inlineStr">
        <is>
          <t>🔴</t>
        </is>
      </c>
    </row>
    <row r="24">
      <c r="A24" s="48" t="inlineStr">
        <is>
          <t>§3 확정</t>
        </is>
      </c>
      <c r="B24" s="49" t="inlineStr">
        <is>
          <t>3.4 평가 (21·22장)</t>
        </is>
      </c>
      <c r="C24" s="49" t="inlineStr">
        <is>
          <t>제61조 제1항 제2호(건물) 현행 문언은 "~등을 고려하여"(참작하여 아님).</t>
        </is>
      </c>
      <c r="D24" s="49" t="inlineStr">
        <is>
          <t>law.go.kr 원문 (verify_*.md)</t>
        </is>
      </c>
      <c r="E24" s="49" t="inlineStr">
        <is>
          <t>🟡</t>
        </is>
      </c>
    </row>
    <row r="25">
      <c r="A25" s="48" t="inlineStr">
        <is>
          <t>§3 확정</t>
        </is>
      </c>
      <c r="B25" s="49" t="inlineStr">
        <is>
          <t>3.4 평가 (21·22장)</t>
        </is>
      </c>
      <c r="C25" s="49" t="inlineStr">
        <is>
          <t>제63조 제1항 제1호 가목 — '유가증권시장·코스닥시장'은 법이 아니라 시행령 §52조의2 제1항에 명시. "거래소 최종 시세가액"("한국거래소"는 구법), "(거래실적 유무를 따지지 아니한다)"("불문한다" 아님), 매매 없는 날은 전일 기준 단서.</t>
        </is>
      </c>
      <c r="D25" s="49" t="inlineStr">
        <is>
          <t>law.go.kr 원문 (verify_*.md)</t>
        </is>
      </c>
      <c r="E25" s="49" t="inlineStr">
        <is>
          <t>🟡</t>
        </is>
      </c>
    </row>
    <row r="26">
      <c r="A26" s="48" t="inlineStr">
        <is>
          <t>§3 확정</t>
        </is>
      </c>
      <c r="B26" s="49" t="inlineStr">
        <is>
          <t>3.4 평가 (21·22장)</t>
        </is>
      </c>
      <c r="C26" s="49" t="inlineStr">
        <is>
          <t>코스닥 상장주식은 현행법상 가목으로 평가. 다목은 삭제 &lt;2016.12.20.&gt; — 현행 조문으로 인용 금지. 기업공개 준비 중 주식은 §63②.</t>
        </is>
      </c>
      <c r="D26" s="49" t="inlineStr">
        <is>
          <t>law.go.kr 원문 (verify_*.md)</t>
        </is>
      </c>
      <c r="E26" s="49" t="inlineStr">
        <is>
          <t>🟡</t>
        </is>
      </c>
    </row>
    <row r="27">
      <c r="A27" s="48" t="inlineStr">
        <is>
          <t>§3 확정</t>
        </is>
      </c>
      <c r="B27" s="49" t="inlineStr">
        <is>
          <t>3.4 평가 (21·22장)</t>
        </is>
      </c>
      <c r="C27" s="49" t="inlineStr">
        <is>
          <t>2개월 기간 계산 특례 = 시행령 §52조의2 제2항(제53조 아님).</t>
        </is>
      </c>
      <c r="D27" s="49" t="inlineStr">
        <is>
          <t>law.go.kr 원문 (verify_*.md)</t>
        </is>
      </c>
      <c r="E27" s="49" t="inlineStr">
        <is>
          <t>🟡</t>
        </is>
      </c>
    </row>
    <row r="28">
      <c r="A28" s="48" t="inlineStr">
        <is>
          <t>§3 확정</t>
        </is>
      </c>
      <c r="B28" s="49" t="inlineStr">
        <is>
          <t>3.4 평가 (21·22장)</t>
        </is>
      </c>
      <c r="C28" s="49" t="inlineStr">
        <is>
          <t>§66 저당권 특례 — 비교 대상은 "제60조에 따라 평가한 가액", 큰 금액(MAX) 규칙. 공동저당권·근저당권 구분은 법 각 호가 아니라 시행령 §63①에만 있다. 시행령 §63 제목은 "저당권등이 설정된 재산의 평가"("평가의 특례" 아님).</t>
        </is>
      </c>
      <c r="D28" s="49" t="inlineStr">
        <is>
          <t>law.go.kr 원문 (verify_*.md)</t>
        </is>
      </c>
      <c r="E28" s="49" t="inlineStr">
        <is>
          <t>🟡</t>
        </is>
      </c>
    </row>
    <row r="29">
      <c r="A29" s="48" t="inlineStr">
        <is>
          <t>§3 확정</t>
        </is>
      </c>
      <c r="B29" s="49" t="inlineStr">
        <is>
          <t>3.4 평가 (21·22장)</t>
        </is>
      </c>
      <c r="C29" s="49" t="inlineStr">
        <is>
          <t>임대료 환산가액 = 법 §61⑤ + 시행령 §50⑦ — 큰 금액(higher-of) 규칙이지 대체 규칙이 아니다.</t>
        </is>
      </c>
      <c r="D29" s="49" t="inlineStr">
        <is>
          <t>law.go.kr 원문 (verify_*.md)</t>
        </is>
      </c>
      <c r="E29" s="49" t="inlineStr">
        <is>
          <t>🟡</t>
        </is>
      </c>
    </row>
    <row r="30">
      <c r="A30" s="48" t="inlineStr">
        <is>
          <t>§3 확정</t>
        </is>
      </c>
      <c r="B30" s="49" t="inlineStr">
        <is>
          <t>3.4 평가 (21·22장)</t>
        </is>
      </c>
      <c r="C30" s="49" t="inlineStr">
        <is>
          <t>현행 명칭은 "평가심의위원회"("재산평가심의위원회"는 구 명칭), "부동산 감정평가 사업"("비주거용 부동산 감정평가 사업"은 구 명칭, 2025.6.11. 훈령 제2681호부터).</t>
        </is>
      </c>
      <c r="D30" s="49" t="inlineStr">
        <is>
          <t>law.go.kr 원문 (verify_*.md)</t>
        </is>
      </c>
      <c r="E30" s="49" t="inlineStr">
        <is>
          <t>🟡</t>
        </is>
      </c>
    </row>
    <row r="31">
      <c r="A31" s="48" t="inlineStr">
        <is>
          <t>§3 확정</t>
        </is>
      </c>
      <c r="B31" s="49" t="inlineStr">
        <is>
          <t>3.4 평가 (21·22장)</t>
        </is>
      </c>
      <c r="C31" s="49" t="inlineStr">
        <is>
          <t>부동산 감정평가 선정 기준(사무처리규정 §72②): 추정시가와 보충적 평가액의 차이 5억원 이상 또는 차이 비율 10% 이상, 5억 기준은 2025.1.1. 시행(종전 10억). 단 "고려하여 선정할 수 있으며"의 재량 규정.</t>
        </is>
      </c>
      <c r="D31" s="49" t="inlineStr">
        <is>
          <t>law.go.kr 원문 (verify_*.md)</t>
        </is>
      </c>
      <c r="E31" s="49" t="inlineStr">
        <is>
          <t>🔴</t>
        </is>
      </c>
    </row>
    <row r="32">
      <c r="A32" s="48" t="inlineStr">
        <is>
          <t>§3 확정</t>
        </is>
      </c>
      <c r="B32" s="49" t="inlineStr">
        <is>
          <t>3.4 평가 (21·22장)</t>
        </is>
      </c>
      <c r="C32" s="49" t="inlineStr">
        <is>
          <t>예산은 2026년 감액(2025년 96억 → 2026년 67억, 약 30%↓) — "증액" 서술 금지.</t>
        </is>
      </c>
      <c r="D32" s="49" t="inlineStr">
        <is>
          <t>law.go.kr 원문 (verify_*.md)</t>
        </is>
      </c>
      <c r="E32" s="49" t="inlineStr">
        <is>
          <t>🟢</t>
        </is>
      </c>
    </row>
    <row r="34">
      <c r="A34" s="21" t="inlineStr">
        <is>
          <t>■ 확인 완료 — 그대로 사용 가능한 사실 (체크리스트 §7)</t>
        </is>
      </c>
      <c r="B34" s="22" t="n"/>
      <c r="C34" s="22" t="n"/>
      <c r="D34" s="22" t="n"/>
      <c r="E34" s="22" t="n"/>
    </row>
    <row r="35">
      <c r="A35" s="48" t="inlineStr">
        <is>
          <t>§7 확정</t>
        </is>
      </c>
      <c r="B35" s="49" t="inlineStr">
        <is>
          <t>7.1 세율·세액</t>
        </is>
      </c>
      <c r="C35" s="49" t="inlineStr">
        <is>
          <t>세율표 §26: 10/20/30/40/50% + 누진공제 0/1천만/6천만/1.6억/4.6억 (국세청+법제처 법문식 산술 일치 검산)</t>
        </is>
      </c>
      <c r="D35" s="49" t="inlineStr">
        <is>
          <t>law.go.kr 원문 (verify_*.md)</t>
        </is>
      </c>
      <c r="E35" s="49" t="inlineStr"/>
    </row>
    <row r="36">
      <c r="A36" s="48" t="inlineStr">
        <is>
          <t>§7 확정</t>
        </is>
      </c>
      <c r="B36" s="49" t="inlineStr">
        <is>
          <t>7.1 세율·세액</t>
        </is>
      </c>
      <c r="C36" s="49" t="inlineStr">
        <is>
          <t>과세최저한 §25②: 과세표준 50만원 미만 부과 제외</t>
        </is>
      </c>
      <c r="D36" s="49" t="inlineStr">
        <is>
          <t>law.go.kr 원문 (verify_*.md)</t>
        </is>
      </c>
      <c r="E36" s="49" t="inlineStr"/>
    </row>
    <row r="37">
      <c r="A37" s="48" t="inlineStr">
        <is>
          <t>§7 확정</t>
        </is>
      </c>
      <c r="B37" s="49" t="inlineStr">
        <is>
          <t>7.1 세율·세액</t>
        </is>
      </c>
      <c r="C37" s="49" t="inlineStr">
        <is>
          <t>세대생략 할증 §27: 30%, 미성년자 + 20억 초과 시 40%, 대습상속 제외</t>
        </is>
      </c>
      <c r="D37" s="49" t="inlineStr">
        <is>
          <t>law.go.kr 원문 (verify_*.md)</t>
        </is>
      </c>
      <c r="E37" s="49" t="inlineStr"/>
    </row>
    <row r="38">
      <c r="A38" s="48" t="inlineStr">
        <is>
          <t>§7 확정</t>
        </is>
      </c>
      <c r="B38" s="49" t="inlineStr">
        <is>
          <t>7.1 세율·세액</t>
        </is>
      </c>
      <c r="C38" s="49" t="inlineStr">
        <is>
          <t>신고세액공제 §69: 3% (2019~)</t>
        </is>
      </c>
      <c r="D38" s="49" t="inlineStr">
        <is>
          <t>law.go.kr 원문 (verify_*.md)</t>
        </is>
      </c>
      <c r="E38" s="49" t="inlineStr"/>
    </row>
    <row r="39">
      <c r="A39" s="48" t="inlineStr">
        <is>
          <t>§7 확정</t>
        </is>
      </c>
      <c r="B39" s="49" t="inlineStr">
        <is>
          <t>7.1 세율·세액</t>
        </is>
      </c>
      <c r="C39" s="49" t="inlineStr">
        <is>
          <t>증여세 세율 = 상속세 세율 준용(§56)</t>
        </is>
      </c>
      <c r="D39" s="49" t="inlineStr">
        <is>
          <t>law.go.kr 원문 (verify_*.md)</t>
        </is>
      </c>
      <c r="E39" s="49" t="inlineStr"/>
    </row>
    <row r="40">
      <c r="A40" s="48" t="inlineStr">
        <is>
          <t>§7 확정</t>
        </is>
      </c>
      <c r="B40" s="49" t="inlineStr">
        <is>
          <t>7.1 세율·세액</t>
        </is>
      </c>
      <c r="C40" s="49" t="inlineStr">
        <is>
          <t>계산 사례 12-1·12-2·12-3: verify_calc.py PASS (2026-08-12, 검증자 재실행 exit 0)</t>
        </is>
      </c>
      <c r="D40" s="49" t="inlineStr">
        <is>
          <t>law.go.kr 원문 (verify_*.md)</t>
        </is>
      </c>
      <c r="E40" s="49" t="inlineStr"/>
    </row>
    <row r="41">
      <c r="A41" s="48" t="inlineStr">
        <is>
          <t>§7 확정</t>
        </is>
      </c>
      <c r="B41" s="49" t="inlineStr">
        <is>
          <t>7.2 공제</t>
        </is>
      </c>
      <c r="C41" s="49" t="inlineStr">
        <is>
          <t>기초공제 2억(§18) · 일괄공제 5억 선택 구조 · 무신고 시 5억 자동(§21①) · 배우자 단독상속 시 일괄공제 배제(§21②)</t>
        </is>
      </c>
      <c r="D41" s="49" t="inlineStr">
        <is>
          <t>law.go.kr 원문 (verify_*.md)</t>
        </is>
      </c>
      <c r="E41" s="49" t="inlineStr"/>
    </row>
    <row r="42">
      <c r="A42" s="48" t="inlineStr">
        <is>
          <t>§7 확정</t>
        </is>
      </c>
      <c r="B42" s="49" t="inlineStr">
        <is>
          <t>7.2 공제</t>
        </is>
      </c>
      <c r="C42" s="49" t="inlineStr">
        <is>
          <t>인적공제 §20: 자녀 5천만(태아 포함, 2023~) · 미성년 1천만 × 19세까지 · 연로 65세 5천만 · 장애인 1천만 × 기대여명 + 중복 규칙</t>
        </is>
      </c>
      <c r="D42" s="49" t="inlineStr">
        <is>
          <t>law.go.kr 원문 (verify_*.md)</t>
        </is>
      </c>
      <c r="E42" s="49" t="inlineStr"/>
    </row>
    <row r="43">
      <c r="A43" s="48" t="inlineStr">
        <is>
          <t>§7 확정</t>
        </is>
      </c>
      <c r="B43" s="49" t="inlineStr">
        <is>
          <t>7.2 공제</t>
        </is>
      </c>
      <c r="C43" s="49" t="inlineStr">
        <is>
          <t>배우자공제 §19: 최소 5억(④) · 최대 30억 · 분할기한은 신고기한 다음날부터 9개월(②) · 부득이한 사유 6개월 추가(③)</t>
        </is>
      </c>
      <c r="D43" s="49" t="inlineStr">
        <is>
          <t>law.go.kr 원문 (verify_*.md)</t>
        </is>
      </c>
      <c r="E43" s="49" t="inlineStr"/>
    </row>
    <row r="44">
      <c r="A44" s="48" t="inlineStr">
        <is>
          <t>§7 확정</t>
        </is>
      </c>
      <c r="B44" s="49" t="inlineStr">
        <is>
          <t>7.2 공제</t>
        </is>
      </c>
      <c r="C44" s="49" t="inlineStr">
        <is>
          <t>금융재산상속공제 §22: 2천만 초과 시 max(20%, 2천만), 2천만 이하 전액, 2억 한도, 거주자 한정. 범위는 시행령 §19①</t>
        </is>
      </c>
      <c r="D44" s="49" t="inlineStr">
        <is>
          <t>law.go.kr 원문 (verify_*.md)</t>
        </is>
      </c>
      <c r="E44" s="49" t="inlineStr"/>
    </row>
    <row r="45">
      <c r="A45" s="48" t="inlineStr">
        <is>
          <t>§7 확정</t>
        </is>
      </c>
      <c r="B45" s="49" t="inlineStr">
        <is>
          <t>7.2 공제</t>
        </is>
      </c>
      <c r="C45" s="49" t="inlineStr">
        <is>
          <t>동거주택상속공제 §23의2: 100%·6억 (40%·5억, 80%·5억은 구법). 특례 3단: 법 §23의2② → 령 §20의2② → 규칙 §9의2</t>
        </is>
      </c>
      <c r="D45" s="49" t="inlineStr">
        <is>
          <t>law.go.kr 원문 (verify_*.md)</t>
        </is>
      </c>
      <c r="E45" s="49" t="inlineStr"/>
    </row>
    <row r="46">
      <c r="A46" s="48" t="inlineStr">
        <is>
          <t>§7 확정</t>
        </is>
      </c>
      <c r="B46" s="49" t="inlineStr">
        <is>
          <t>7.2 공제</t>
        </is>
      </c>
      <c r="C46" s="49" t="inlineStr">
        <is>
          <t>재해손실공제 §23: '재난' 정의는 시행령 §20①</t>
        </is>
      </c>
      <c r="D46" s="49" t="inlineStr">
        <is>
          <t>law.go.kr 원문 (verify_*.md)</t>
        </is>
      </c>
      <c r="E46" s="49" t="inlineStr"/>
    </row>
    <row r="47">
      <c r="A47" s="48" t="inlineStr">
        <is>
          <t>§7 확정</t>
        </is>
      </c>
      <c r="B47" s="49" t="inlineStr">
        <is>
          <t>7.2 공제</t>
        </is>
      </c>
      <c r="C47" s="49" t="inlineStr">
        <is>
          <t>종합한도 §24: "선순위인 상속인이 아닌 자" / "선순위인 상속인의 상속 포기로" / 차감 대상은 증여재산가액(§53·§53의2·§54 공제 차감 후) / 인용 조문 "제18조, 제18조의2, 제18조의3, 제19조부터 제23조까지 및 제23조의2"</t>
        </is>
      </c>
      <c r="D47" s="49" t="inlineStr">
        <is>
          <t>law.go.kr 원문 (verify_*.md)</t>
        </is>
      </c>
      <c r="E47" s="49" t="inlineStr"/>
    </row>
    <row r="48">
      <c r="A48" s="48" t="inlineStr">
        <is>
          <t>§7 확정</t>
        </is>
      </c>
      <c r="B48" s="49" t="inlineStr">
        <is>
          <t>7.3 상속재산</t>
        </is>
      </c>
      <c r="C48" s="49" t="inlineStr">
        <is>
          <t>시행령 §11⑤ 재산 3분류 — 1호 현금·예금·유가증권 / 2호 부동산 및 그 권리 / 3호 삭제 / 4호 기타 ("기타재산 = 3호"는 오류)</t>
        </is>
      </c>
      <c r="D48" s="49" t="inlineStr">
        <is>
          <t>law.go.kr 원문 (verify_*.md)</t>
        </is>
      </c>
      <c r="E48" s="49" t="inlineStr"/>
    </row>
    <row r="49">
      <c r="A49" s="48" t="inlineStr">
        <is>
          <t>§7 확정</t>
        </is>
      </c>
      <c r="B49" s="49" t="inlineStr">
        <is>
          <t>7.3 상속재산</t>
        </is>
      </c>
      <c r="C49" s="49" t="inlineStr">
        <is>
          <t>시행령 §11④: 미소명액이 Min(처분·인출액 × 20%, 2억) 미만이면 전액 배제, 이상이면 그 적은 금액을 차감한 나머지 산입</t>
        </is>
      </c>
      <c r="D49" s="49" t="inlineStr">
        <is>
          <t>law.go.kr 원문 (verify_*.md)</t>
        </is>
      </c>
      <c r="E49" s="49" t="inlineStr"/>
    </row>
    <row r="50">
      <c r="A50" s="48" t="inlineStr">
        <is>
          <t>§7 확정</t>
        </is>
      </c>
      <c r="B50" s="49" t="inlineStr">
        <is>
          <t>7.3 상속재산</t>
        </is>
      </c>
      <c r="C50" s="49" t="inlineStr">
        <is>
          <t>법 §15②(비금융기관 채무)에는 20%/2억 차감이 없다 — 미입증금액 전액 산입</t>
        </is>
      </c>
      <c r="D50" s="49" t="inlineStr">
        <is>
          <t>law.go.kr 원문 (verify_*.md)</t>
        </is>
      </c>
      <c r="E50" s="49" t="inlineStr"/>
    </row>
    <row r="51">
      <c r="A51" s="48" t="inlineStr">
        <is>
          <t>§7 확정</t>
        </is>
      </c>
      <c r="B51" s="49" t="inlineStr">
        <is>
          <t>7.3 상속재산</t>
        </is>
      </c>
      <c r="C51" s="49" t="inlineStr">
        <is>
          <t>보험금 안분 산식 근거 = 시행령 §4①</t>
        </is>
      </c>
      <c r="D51" s="49" t="inlineStr">
        <is>
          <t>law.go.kr 원문 (verify_*.md)</t>
        </is>
      </c>
      <c r="E51" s="49" t="inlineStr"/>
    </row>
    <row r="52">
      <c r="A52" s="48" t="inlineStr">
        <is>
          <t>§7 확정</t>
        </is>
      </c>
      <c r="B52" s="49" t="inlineStr">
        <is>
          <t>7.3 상속재산</t>
        </is>
      </c>
      <c r="C52" s="49" t="inlineStr">
        <is>
          <t>사망보험금은 소득세법상 이자소득 과세대상이 아니다(소득령 §25①)</t>
        </is>
      </c>
      <c r="D52" s="49" t="inlineStr">
        <is>
          <t>law.go.kr 원문 (verify_*.md)</t>
        </is>
      </c>
      <c r="E52" s="49" t="inlineStr"/>
    </row>
    <row r="53">
      <c r="A53" s="48" t="inlineStr">
        <is>
          <t>§7 확정</t>
        </is>
      </c>
      <c r="B53" s="49" t="inlineStr">
        <is>
          <t>7.3 상속재산</t>
        </is>
      </c>
      <c r="C53" s="49" t="inlineStr">
        <is>
          <t>소명 판정은 시행령 §11②의 5가지 부정 요건으로 이루어진다(적극적 인정 목록 아님)</t>
        </is>
      </c>
      <c r="D53" s="49" t="inlineStr">
        <is>
          <t>law.go.kr 원문 (verify_*.md)</t>
        </is>
      </c>
      <c r="E53" s="49" t="inlineStr"/>
    </row>
    <row r="54">
      <c r="A54" s="48" t="inlineStr">
        <is>
          <t>§7 확정</t>
        </is>
      </c>
      <c r="B54" s="49" t="inlineStr">
        <is>
          <t>7.3 상속재산</t>
        </is>
      </c>
      <c r="C54" s="49" t="inlineStr">
        <is>
          <t>금융조회 근거 3단: 법 §83 → 금융실명법 §4①2호·§4⑥5호 → 사무처리규정 §36</t>
        </is>
      </c>
      <c r="D54" s="49" t="inlineStr">
        <is>
          <t>law.go.kr 원문 (verify_*.md)</t>
        </is>
      </c>
      <c r="E54" s="49" t="inlineStr"/>
    </row>
    <row r="55">
      <c r="A55" s="48" t="inlineStr">
        <is>
          <t>§7 확정</t>
        </is>
      </c>
      <c r="B55" s="49" t="inlineStr">
        <is>
          <t>7.3 상속재산</t>
        </is>
      </c>
      <c r="C55" s="49" t="inlineStr">
        <is>
          <t>법 §9③ 수익자연속신탁(2020.12.22 신설) / 법 §10 제2·3호에 공무원·군인 재해보상법 추가(2018.3.20)</t>
        </is>
      </c>
      <c r="D55" s="49" t="inlineStr">
        <is>
          <t>law.go.kr 원문 (verify_*.md)</t>
        </is>
      </c>
      <c r="E55" s="49" t="inlineStr"/>
    </row>
    <row r="56">
      <c r="A56" s="48" t="inlineStr">
        <is>
          <t>§7 확정</t>
        </is>
      </c>
      <c r="B56" s="49" t="inlineStr">
        <is>
          <t>7.4 가업상속·가업승계</t>
        </is>
      </c>
      <c r="C56" s="49" t="inlineStr">
        <is>
          <t>추징률은 일률 100% (상증령 §15⑮ / 영농 §16⑦) — 기간별 표는 현행법에 없다</t>
        </is>
      </c>
      <c r="D56" s="49" t="inlineStr">
        <is>
          <t>law.go.kr 원문 (verify_*.md)</t>
        </is>
      </c>
      <c r="E56" s="49" t="inlineStr"/>
    </row>
    <row r="57">
      <c r="A57" s="48" t="inlineStr">
        <is>
          <t>§7 확정</t>
        </is>
      </c>
      <c r="B57" s="49" t="inlineStr">
        <is>
          <t>7.4 가업상속·가업승계</t>
        </is>
      </c>
      <c r="C57" s="49" t="inlineStr">
        <is>
          <t>위반유형별 차이는 곱셈 인자: 1호(자산 40%↑ 처분)만 × 자산처분비율(§15⑩), 2·3·4호는 100%</t>
        </is>
      </c>
      <c r="D57" s="49" t="inlineStr">
        <is>
          <t>law.go.kr 원문 (verify_*.md)</t>
        </is>
      </c>
      <c r="E57" s="49" t="inlineStr"/>
    </row>
    <row r="58">
      <c r="A58" s="48" t="inlineStr">
        <is>
          <t>§7 확정</t>
        </is>
      </c>
      <c r="B58" s="49" t="inlineStr">
        <is>
          <t>7.4 가업상속·가업승계</t>
        </is>
      </c>
      <c r="C58" s="49" t="inlineStr">
        <is>
          <t>이자상당액: 상증법 연 3.1%(1일 10만분의 8.49) vs 조특법 1일 10만분의 22(연 8.03%) — 2.6배 차이, 반드시 분리 표기</t>
        </is>
      </c>
      <c r="D58" s="49" t="inlineStr">
        <is>
          <t>law.go.kr 원문 (verify_*.md)</t>
        </is>
      </c>
      <c r="E58" s="49" t="inlineStr"/>
    </row>
    <row r="59">
      <c r="A59" s="48" t="inlineStr">
        <is>
          <t>§7 확정</t>
        </is>
      </c>
      <c r="B59" s="49" t="inlineStr">
        <is>
          <t>7.4 가업상속·가업승계</t>
        </is>
      </c>
      <c r="C59" s="49" t="inlineStr">
        <is>
          <t>국기칙 §19의3 현행값 연 1천분의 31(2025.3.21. 개정, 3.5%→3.1%)</t>
        </is>
      </c>
      <c r="D59" s="49" t="inlineStr">
        <is>
          <t>law.go.kr 원문 (verify_*.md)</t>
        </is>
      </c>
      <c r="E59" s="49" t="inlineStr"/>
    </row>
    <row r="60">
      <c r="A60" s="48" t="inlineStr">
        <is>
          <t>§7 확정</t>
        </is>
      </c>
      <c r="B60" s="49" t="inlineStr">
        <is>
          <t>7.4 가업상속·가업승계</t>
        </is>
      </c>
      <c r="C60" s="49" t="inlineStr">
        <is>
          <t>조문이 "상속세의 부과 당시의 이자율"이라 부과 시점 단일 요율을 전 기간에 적용</t>
        </is>
      </c>
      <c r="D60" s="49" t="inlineStr">
        <is>
          <t>law.go.kr 원문 (verify_*.md)</t>
        </is>
      </c>
      <c r="E60" s="49" t="inlineStr"/>
    </row>
    <row r="61">
      <c r="A61" s="48" t="inlineStr">
        <is>
          <t>§7 확정</t>
        </is>
      </c>
      <c r="B61" s="49" t="inlineStr">
        <is>
          <t>7.5 평가</t>
        </is>
      </c>
      <c r="C61" s="49" t="inlineStr">
        <is>
          <t>최대주주 할증 일률 20% (2020.1.1.~). 제외: 중소기업·중견기업·3년 이상 계속 결손 법인. 중소기업 정의 = 중소기업기본법 §2</t>
        </is>
      </c>
      <c r="D61" s="49" t="inlineStr">
        <is>
          <t>law.go.kr 원문 (verify_*.md)</t>
        </is>
      </c>
      <c r="E61" s="49" t="inlineStr"/>
    </row>
    <row r="62">
      <c r="A62" s="48" t="inlineStr">
        <is>
          <t>§7 확정</t>
        </is>
      </c>
      <c r="B62" s="49" t="inlineStr">
        <is>
          <t>7.5 평가</t>
        </is>
      </c>
      <c r="C62" s="49" t="inlineStr">
        <is>
          <t>§61①2 건물: "~등을 고려하여" / §63①1가: "거래소 최종 시세가액", "(거래실적 유무를 따지지 아니한다)", 매매 없는 날은 전일 기준</t>
        </is>
      </c>
      <c r="D62" s="49" t="inlineStr">
        <is>
          <t>law.go.kr 원문 (verify_*.md)</t>
        </is>
      </c>
      <c r="E62" s="49" t="inlineStr"/>
    </row>
    <row r="63">
      <c r="A63" s="48" t="inlineStr">
        <is>
          <t>§7 확정</t>
        </is>
      </c>
      <c r="B63" s="49" t="inlineStr">
        <is>
          <t>7.5 평가</t>
        </is>
      </c>
      <c r="C63" s="49" t="inlineStr">
        <is>
          <t>코스닥 = 가목, 다목은 삭제 &lt;2016.12.20.&gt;, 기업공개 준비 중 주식은 §63②, 증권시장 지정은 령 §52의2①, 2개월 특례는 령 §52의2②</t>
        </is>
      </c>
      <c r="D63" s="49" t="inlineStr">
        <is>
          <t>law.go.kr 원문 (verify_*.md)</t>
        </is>
      </c>
      <c r="E63" s="49" t="inlineStr"/>
    </row>
    <row r="64">
      <c r="A64" s="48" t="inlineStr">
        <is>
          <t>§7 확정</t>
        </is>
      </c>
      <c r="B64" s="49" t="inlineStr">
        <is>
          <t>7.5 평가</t>
        </is>
      </c>
      <c r="C64" s="49" t="inlineStr">
        <is>
          <t>§66은 MAX 규칙, 비교 대상은 "§60에 따라 평가한 가액". 공동·근저당권 구분은 령 §63①. 령 §63 제목은 "저당권등이 설정된 재산의 평가"</t>
        </is>
      </c>
      <c r="D64" s="49" t="inlineStr">
        <is>
          <t>law.go.kr 원문 (verify_*.md)</t>
        </is>
      </c>
      <c r="E64" s="49" t="inlineStr"/>
    </row>
    <row r="65">
      <c r="A65" s="48" t="inlineStr">
        <is>
          <t>§7 확정</t>
        </is>
      </c>
      <c r="B65" s="49" t="inlineStr">
        <is>
          <t>7.5 평가</t>
        </is>
      </c>
      <c r="C65" s="49" t="inlineStr">
        <is>
          <t>임대료 환산 = 법 §61⑤ + 령 §50⑦, higher-of 규칙</t>
        </is>
      </c>
      <c r="D65" s="49" t="inlineStr">
        <is>
          <t>law.go.kr 원문 (verify_*.md)</t>
        </is>
      </c>
      <c r="E65" s="49" t="inlineStr"/>
    </row>
    <row r="66">
      <c r="A66" s="48" t="inlineStr">
        <is>
          <t>§7 확정</t>
        </is>
      </c>
      <c r="B66" s="49" t="inlineStr">
        <is>
          <t>7.5 평가</t>
        </is>
      </c>
      <c r="C66" s="49" t="inlineStr">
        <is>
          <t>명칭: 평가심의위원회(국세청·지방국세청 각각 설치, 령 §49의2①), 심의사항 6종, 비상장주식 평가 연결은 령 §54⑥, 오피스텔·상업용 건물 기준시가 자문은 §49의2①4호</t>
        </is>
      </c>
      <c r="D66" s="49" t="inlineStr">
        <is>
          <t>law.go.kr 원문 (verify_*.md)</t>
        </is>
      </c>
      <c r="E66" s="49" t="inlineStr"/>
    </row>
    <row r="67">
      <c r="A67" s="48" t="inlineStr">
        <is>
          <t>§7 확정</t>
        </is>
      </c>
      <c r="B67" s="49" t="inlineStr">
        <is>
          <t>7.5 평가</t>
        </is>
      </c>
      <c r="C67" s="49" t="inlineStr">
        <is>
          <t>령 §49① 단서: 평가기준일 전 2년 이내 매매등도 평가심의위 심의로 시가 포함 가능</t>
        </is>
      </c>
      <c r="D67" s="49" t="inlineStr">
        <is>
          <t>law.go.kr 원문 (verify_*.md)</t>
        </is>
      </c>
      <c r="E67" s="49" t="inlineStr"/>
    </row>
    <row r="68">
      <c r="A68" s="48" t="inlineStr">
        <is>
          <t>§7 확정</t>
        </is>
      </c>
      <c r="B68" s="49" t="inlineStr">
        <is>
          <t>7.5 평가</t>
        </is>
      </c>
      <c r="C68" s="49" t="inlineStr">
        <is>
          <t>부동산 감정평가 사업(2025.6.11. 훈령 제2681호~) 선정 기준: 차이 5억원 이상 또는 10% 이상(5억은 2025.1.1. 시행, 종전 10억), 재량 규정. 감정가액은 평가심의위 시가 인정 심의 필수(§72④)</t>
        </is>
      </c>
      <c r="D68" s="49" t="inlineStr">
        <is>
          <t>law.go.kr 원문 (verify_*.md)</t>
        </is>
      </c>
      <c r="E68" s="49" t="inlineStr"/>
    </row>
    <row r="69">
      <c r="A69" s="48" t="inlineStr">
        <is>
          <t>§7 확정</t>
        </is>
      </c>
      <c r="B69" s="49" t="inlineStr">
        <is>
          <t>7.5 평가</t>
        </is>
      </c>
      <c r="C69" s="49" t="inlineStr">
        <is>
          <t>판례(공식 DB 확인): 대법원 2026.4.2. 2025두35499 — 평가기간 밖 가액 규정이 모법 위임범위 내로 유효. lx.scourt.go.kr/search/detail/precedent/0/2026000036467</t>
        </is>
      </c>
      <c r="D69" s="49" t="inlineStr">
        <is>
          <t>lx.scourt.go.kr/search/detail/precedent/0/2026000036467</t>
        </is>
      </c>
      <c r="E69" s="49" t="inlineStr"/>
    </row>
    <row r="70">
      <c r="A70" s="48" t="inlineStr">
        <is>
          <t>§7 확정</t>
        </is>
      </c>
      <c r="B70" s="49" t="inlineStr">
        <is>
          <t>7.6 절차·관할</t>
        </is>
      </c>
      <c r="C70" s="49" t="inlineStr">
        <is>
          <t>신고기한: 상속 "말일부터 6개월"(외국에 주소를 둔 경우 9개월, §67) / 증여 "말일부터 3개월"(§68)</t>
        </is>
      </c>
      <c r="D70" s="49" t="inlineStr">
        <is>
          <t>law.go.kr 원문 (verify_*.md)</t>
        </is>
      </c>
      <c r="E70" s="49" t="inlineStr"/>
    </row>
    <row r="71">
      <c r="A71" s="48" t="inlineStr">
        <is>
          <t>§7 확정</t>
        </is>
      </c>
      <c r="B71" s="49" t="inlineStr">
        <is>
          <t>7.6 절차·관할</t>
        </is>
      </c>
      <c r="C71" s="49" t="inlineStr">
        <is>
          <t>관할 §6: 상속 = 피상속인 주소지 / 증여 = 수증자 주소지</t>
        </is>
      </c>
      <c r="D71" s="49" t="inlineStr">
        <is>
          <t>law.go.kr 원문 (verify_*.md)</t>
        </is>
      </c>
      <c r="E71" s="49" t="inlineStr"/>
    </row>
    <row r="72">
      <c r="A72" s="48" t="inlineStr">
        <is>
          <t>§7 확정</t>
        </is>
      </c>
      <c r="B72" s="49" t="inlineStr">
        <is>
          <t>7.6 절차·관할</t>
        </is>
      </c>
      <c r="C72" s="49" t="inlineStr">
        <is>
          <t>납세의무자: 상속 §3의2(연대납부는 받은 재산 한도) / 증여 §4의2(수증자 원칙)</t>
        </is>
      </c>
      <c r="D72" s="49" t="inlineStr">
        <is>
          <t>law.go.kr 원문 (verify_*.md)</t>
        </is>
      </c>
      <c r="E72" s="49" t="inlineStr"/>
    </row>
    <row r="73">
      <c r="A73" s="48" t="inlineStr">
        <is>
          <t>§7 확정</t>
        </is>
      </c>
      <c r="B73" s="49" t="inlineStr">
        <is>
          <t>7.6 절차·관할</t>
        </is>
      </c>
      <c r="C73" s="49" t="inlineStr">
        <is>
          <t>납부지연가산세: 법정납부기한~고지일 전날 1일 10만분의 22 존치 / 지정납부기한~납부일 전날 월 1만분의 67(2026.7.1. 시행) — 구간 분리이지 폐지가 아니다</t>
        </is>
      </c>
      <c r="D73" s="49" t="inlineStr">
        <is>
          <t>law.go.kr 원문 (verify_*.md)</t>
        </is>
      </c>
      <c r="E73" s="49" t="inlineStr"/>
    </row>
    <row r="74">
      <c r="A74" s="48" t="inlineStr">
        <is>
          <t>§7 확정</t>
        </is>
      </c>
      <c r="B74" s="49" t="inlineStr">
        <is>
          <t>7.6 절차·관할</t>
        </is>
      </c>
      <c r="C74" s="49" t="inlineStr">
        <is>
          <t>소관 부처: 세법 시행령·시행규칙의 위임 문구는 전부 "재정경제부령"(담당부서 재정경제부 재산세제과). "기획재정부령"은 구 표기</t>
        </is>
      </c>
      <c r="D74" s="49" t="inlineStr">
        <is>
          <t>law.go.kr 원문 (verify_*.md)</t>
        </is>
      </c>
      <c r="E74" s="49" t="inlineStr"/>
    </row>
    <row r="75">
      <c r="A75" s="48" t="inlineStr">
        <is>
          <t>§7 확정</t>
        </is>
      </c>
      <c r="B75" s="49" t="inlineStr">
        <is>
          <t>7.6 절차·관할</t>
        </is>
      </c>
      <c r="C75" s="49" t="inlineStr">
        <is>
          <t>2025년 개정세법(2026.1.1. 시행)의 상증세법 개정은 §3의2·§44·§45의5·§48 4건뿐 — 상속공제 조항 개정 없음</t>
        </is>
      </c>
      <c r="D75" s="49" t="inlineStr">
        <is>
          <t>law.go.kr 원문 (verify_*.md)</t>
        </is>
      </c>
      <c r="E75" s="49" t="inlineStr"/>
    </row>
    <row r="77">
      <c r="A77" s="21" t="inlineStr">
        <is>
          <t>■ 기존 체크리스트에서 해소된 항목 (체크리스트 §6 — 이력)</t>
        </is>
      </c>
      <c r="B77" s="22" t="n"/>
      <c r="C77" s="22" t="n"/>
      <c r="D77" s="22" t="n"/>
      <c r="E77" s="22" t="n"/>
    </row>
    <row r="78">
      <c r="A78" s="48" t="inlineStr">
        <is>
          <t>§6 이력 #1</t>
        </is>
      </c>
      <c r="B78" s="49" t="inlineStr">
        <is>
          <t>해소</t>
        </is>
      </c>
      <c r="C78" s="49" t="inlineStr">
        <is>
          <t>1장 — 2026.8. 현재 상증세법 최신 공포번호 확인</t>
        </is>
      </c>
      <c r="D78" s="49" t="inlineStr">
        <is>
          <t>법률 제21065호(시행 2026.1.2.)·시행령 제36131호·시행규칙(재정경제부령, 2026.3.20.)로 확정. 출처 verify_상속재산_상속공제_원문대조.md</t>
        </is>
      </c>
      <c r="E78" s="49" t="inlineStr"/>
    </row>
    <row r="79">
      <c r="A79" s="48" t="inlineStr">
        <is>
          <t>§6 이력 #2</t>
        </is>
      </c>
      <c r="B79" s="49" t="inlineStr">
        <is>
          <t>재등재</t>
        </is>
      </c>
      <c r="C79" s="49" t="inlineStr">
        <is>
          <t>1장 — 과세인원 절대 수치, 본문은 비율만 사용 ✓</t>
        </is>
      </c>
      <c r="D79" s="49" t="inlineStr">
        <is>
          <t>증량으로 절대 수치가 본문에 들어옴 → 1장 L155로 부활</t>
        </is>
      </c>
      <c r="E79" s="49" t="inlineStr"/>
    </row>
    <row r="80">
      <c r="A80" s="48" t="inlineStr">
        <is>
          <t>§6 이력 #3</t>
        </is>
      </c>
      <c r="B80" s="49" t="inlineStr">
        <is>
          <t>해소</t>
        </is>
      </c>
      <c r="C80" s="49" t="inlineStr">
        <is>
          <t>4장 — 보험금 간주상속 헌재 합헌 결정 사건번호</t>
        </is>
      </c>
      <c r="D80" s="49" t="inlineStr">
        <is>
          <t>사건번호를 인용하지 않고 법리만 서술하는 방침 확정. 현 원고에 해당 마커 없음</t>
        </is>
      </c>
      <c r="E80" s="49" t="inlineStr"/>
    </row>
    <row r="81">
      <c r="A81" s="48" t="inlineStr">
        <is>
          <t>§6 이력 #4</t>
        </is>
      </c>
      <c r="B81" s="49" t="inlineStr">
        <is>
          <t>해소(검증 완료)</t>
        </is>
      </c>
      <c r="C81" s="49" t="inlineStr">
        <is>
          <t>5장 — 시행령 §11④ 추정상속재산 산식</t>
        </is>
      </c>
      <c r="D81" s="49" t="inlineStr">
        <is>
          <t>산식 원문 확정 → 5장 L93 참조</t>
        </is>
      </c>
      <c r="E81" s="49" t="inlineStr"/>
    </row>
    <row r="82">
      <c r="A82" s="48" t="inlineStr">
        <is>
          <t>§6 이력 #5</t>
        </is>
      </c>
      <c r="B82" s="49" t="inlineStr">
        <is>
          <t>해소</t>
        </is>
      </c>
      <c r="C82" s="49" t="inlineStr">
        <is>
          <t>5장 — 대법 94누15929 단일 출처 ✓</t>
        </is>
      </c>
      <c r="D82" s="49" t="inlineStr">
        <is>
          <t>인용 배제 확정(98두3075만 인용)</t>
        </is>
      </c>
      <c r="E82" s="49" t="inlineStr"/>
    </row>
    <row r="83">
      <c r="A83" s="48" t="inlineStr">
        <is>
          <t>§6 이력 #6</t>
        </is>
      </c>
      <c r="B83" s="49" t="inlineStr">
        <is>
          <t>해소(이관)</t>
        </is>
      </c>
      <c r="C83" s="49" t="inlineStr">
        <is>
          <t>7장 — 영리법인 수유 시 주주 과세 세부</t>
        </is>
      </c>
      <c r="D83" s="49" t="inlineStr">
        <is>
          <t>4장 L164(지분상당액 산정 시행령 산식)로 통합</t>
        </is>
      </c>
      <c r="E83" s="49" t="inlineStr"/>
    </row>
    <row r="84">
      <c r="A84" s="48" t="inlineStr">
        <is>
          <t>§6 이력 #7</t>
        </is>
      </c>
      <c r="B84" s="49" t="inlineStr">
        <is>
          <t>해소</t>
        </is>
      </c>
      <c r="C84" s="49" t="inlineStr">
        <is>
          <t>8장 — 장애인공제 기대여명 통계표, 사례 8-1의 30년은 [가정]</t>
        </is>
      </c>
      <c r="D84" s="49" t="inlineStr">
        <is>
          <t>원고 8.7에 "가정값"임이 명시됨. 통계표 작성 주체 "국가데이터처장"(2025.10.1.~)도 반영</t>
        </is>
      </c>
      <c r="E84" s="49" t="inlineStr"/>
    </row>
    <row r="85">
      <c r="A85" s="48" t="inlineStr">
        <is>
          <t>§6 이력 #8</t>
        </is>
      </c>
      <c r="B85" s="49" t="inlineStr">
        <is>
          <t>해소</t>
        </is>
      </c>
      <c r="C85" s="49" t="inlineStr">
        <is>
          <t>8장 — 2015 개정 전 인적공제 구 금액(연혁 각주 넣을 경우)</t>
        </is>
      </c>
      <c r="D85" s="49" t="inlineStr">
        <is>
          <t>연혁 각주 미채택 — 선택 항목이었음</t>
        </is>
      </c>
      <c r="E85" s="49" t="inlineStr"/>
    </row>
    <row r="86">
      <c r="A86" s="48" t="inlineStr">
        <is>
          <t>§6 이력 #9</t>
        </is>
      </c>
      <c r="B86" s="49" t="inlineStr">
        <is>
          <t>해소(이관)</t>
        </is>
      </c>
      <c r="C86" s="49" t="inlineStr">
        <is>
          <t>9장 — 사례 9-2의 증여세액공제 안분한도(§28②)</t>
        </is>
      </c>
      <c r="D86" s="49" t="inlineStr">
        <is>
          <t>6장 L62(§28 한도 항 번호·산식·안분)로 통합. 사례 9-2의 단순화 전제는 본문에 명시됨</t>
        </is>
      </c>
      <c r="E86" s="49" t="inlineStr"/>
    </row>
    <row r="87">
      <c r="A87" s="48" t="inlineStr">
        <is>
          <t>§6 이력 #10</t>
        </is>
      </c>
      <c r="B87" s="49" t="inlineStr">
        <is>
          <t>해소(검증 완료)</t>
        </is>
      </c>
      <c r="C87" s="49" t="inlineStr">
        <is>
          <t>11장 — 가업상속 사후관리 기간별 추징률·이자상당액 세부</t>
        </is>
      </c>
      <c r="D87" s="49" t="inlineStr">
        <is>
          <t>현행법에 기간별 표 없음, 일률 100%(시행령 §15⑮)·이자율 연 3.1% 원문 확정. 출처 verify_가업상속_추징률_이자상당액.md</t>
        </is>
      </c>
      <c r="E87" s="49" t="inlineStr"/>
    </row>
    <row r="88">
      <c r="A88" s="48" t="inlineStr">
        <is>
          <t>§6 이력 #11</t>
        </is>
      </c>
      <c r="B88" s="49" t="inlineStr">
        <is>
          <t>해소</t>
        </is>
      </c>
      <c r="C88" s="49" t="inlineStr">
        <is>
          <t>12장 — 유산취득세 계류 법안 의안번호(각주용·선택)</t>
        </is>
      </c>
      <c r="D88" s="49" t="inlineStr">
        <is>
          <t>각주 미채택. 유산취득세 자체는 §2 개정 감시로 유지</t>
        </is>
      </c>
      <c r="E88" s="49" t="inlineStr"/>
    </row>
    <row r="89">
      <c r="A89" s="48" t="inlineStr">
        <is>
          <t>§6 이력 #12</t>
        </is>
      </c>
      <c r="B89" s="49" t="inlineStr">
        <is>
          <t>해소(이관)</t>
        </is>
      </c>
      <c r="C89" s="49" t="inlineStr">
        <is>
          <t>14~16장 — 령§26 항번호 배치</t>
        </is>
      </c>
      <c r="D89" s="49" t="inlineStr">
        <is>
          <t>15장 L75(순차·안분 공제의 근거 시행령 조문·항번호)로 통합</t>
        </is>
      </c>
      <c r="E89" s="49" t="inlineStr"/>
    </row>
  </sheetData>
  <autoFilter ref="A1:E90"/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6" customWidth="1" min="3" max="3"/>
    <col width="30" customWidth="1" min="4" max="4"/>
  </cols>
  <sheetData>
    <row r="1">
      <c r="A1" s="1" t="inlineStr">
        <is>
          <t>법령·조문</t>
        </is>
      </c>
      <c r="B1" s="1" t="inlineStr">
        <is>
          <t>등장 장</t>
        </is>
      </c>
      <c r="C1" s="1" t="inlineStr">
        <is>
          <t>law.go.kr 대조 (기입)</t>
        </is>
      </c>
      <c r="D1" s="1" t="inlineStr">
        <is>
          <t>비고</t>
        </is>
      </c>
    </row>
    <row r="2">
      <c r="A2" s="49" t="inlineStr">
        <is>
          <t>국세기본법 §18③</t>
        </is>
      </c>
      <c r="B2" s="49" t="inlineStr">
        <is>
          <t>02장</t>
        </is>
      </c>
      <c r="C2" s="49" t="n"/>
      <c r="D2" s="49" t="n"/>
    </row>
    <row r="3">
      <c r="A3" s="49" t="inlineStr">
        <is>
          <t>국세기본법 §26의2</t>
        </is>
      </c>
      <c r="B3" s="49" t="inlineStr">
        <is>
          <t>25장</t>
        </is>
      </c>
      <c r="C3" s="49" t="n"/>
      <c r="D3" s="49" t="n"/>
    </row>
    <row r="4">
      <c r="A4" s="49" t="inlineStr">
        <is>
          <t>국세기본법 §45</t>
        </is>
      </c>
      <c r="B4" s="49" t="inlineStr">
        <is>
          <t>25장</t>
        </is>
      </c>
      <c r="C4" s="49" t="n"/>
      <c r="D4" s="49" t="n"/>
    </row>
    <row r="5">
      <c r="A5" s="49" t="inlineStr">
        <is>
          <t>국세기본법 §47의3④</t>
        </is>
      </c>
      <c r="B5" s="49" t="inlineStr">
        <is>
          <t>23장</t>
        </is>
      </c>
      <c r="C5" s="49" t="n"/>
      <c r="D5" s="49" t="n"/>
    </row>
    <row r="6">
      <c r="A6" s="49" t="inlineStr">
        <is>
          <t>국세기본법 §47의4</t>
        </is>
      </c>
      <c r="B6" s="49" t="inlineStr">
        <is>
          <t>23장</t>
        </is>
      </c>
      <c r="C6" s="49" t="n"/>
      <c r="D6" s="49" t="n"/>
    </row>
    <row r="7">
      <c r="A7" s="49" t="inlineStr">
        <is>
          <t>민법 §1000</t>
        </is>
      </c>
      <c r="B7" s="49" t="inlineStr">
        <is>
          <t>03장</t>
        </is>
      </c>
      <c r="C7" s="49" t="n"/>
      <c r="D7" s="49" t="n"/>
    </row>
    <row r="8">
      <c r="A8" s="49" t="inlineStr">
        <is>
          <t>민법 §1004의2</t>
        </is>
      </c>
      <c r="B8" s="49" t="inlineStr">
        <is>
          <t>03장</t>
        </is>
      </c>
      <c r="C8" s="49" t="n"/>
      <c r="D8" s="49" t="n"/>
    </row>
    <row r="9">
      <c r="A9" s="49" t="inlineStr">
        <is>
          <t>민법 제1001조</t>
        </is>
      </c>
      <c r="B9" s="49" t="inlineStr">
        <is>
          <t>12장</t>
        </is>
      </c>
      <c r="C9" s="49" t="n"/>
      <c r="D9" s="49" t="n"/>
    </row>
    <row r="10">
      <c r="A10" s="49" t="inlineStr">
        <is>
          <t>민법 제1009조</t>
        </is>
      </c>
      <c r="B10" s="49" t="inlineStr">
        <is>
          <t>09장</t>
        </is>
      </c>
      <c r="C10" s="49" t="n"/>
      <c r="D10" s="49" t="n"/>
    </row>
    <row r="11">
      <c r="A11" s="49" t="inlineStr">
        <is>
          <t>상증세법 §35</t>
        </is>
      </c>
      <c r="B11" s="49" t="inlineStr">
        <is>
          <t>14, 16장</t>
        </is>
      </c>
      <c r="C11" s="49" t="n"/>
      <c r="D11" s="49" t="n"/>
    </row>
    <row r="12">
      <c r="A12" s="49" t="inlineStr">
        <is>
          <t>상증세법 §61</t>
        </is>
      </c>
      <c r="B12" s="49" t="inlineStr">
        <is>
          <t>22장</t>
        </is>
      </c>
      <c r="C12" s="49" t="n"/>
      <c r="D12" s="49" t="n"/>
    </row>
    <row r="13">
      <c r="A13" s="49" t="inlineStr">
        <is>
          <t>상증세법 §63</t>
        </is>
      </c>
      <c r="B13" s="49" t="inlineStr">
        <is>
          <t>22장</t>
        </is>
      </c>
      <c r="C13" s="49" t="n"/>
      <c r="D13" s="49" t="n"/>
    </row>
    <row r="14">
      <c r="A14" s="49" t="inlineStr">
        <is>
          <t>상증세법 §71</t>
        </is>
      </c>
      <c r="B14" s="49" t="inlineStr">
        <is>
          <t>24장</t>
        </is>
      </c>
      <c r="C14" s="49" t="n"/>
      <c r="D14" s="49" t="n"/>
    </row>
    <row r="15">
      <c r="A15" s="49" t="inlineStr">
        <is>
          <t>상증세법 §73</t>
        </is>
      </c>
      <c r="B15" s="49" t="inlineStr">
        <is>
          <t>24장</t>
        </is>
      </c>
      <c r="C15" s="49" t="n"/>
      <c r="D15" s="49" t="n"/>
    </row>
    <row r="16">
      <c r="A16" s="49" t="inlineStr">
        <is>
          <t>상증세법 §76</t>
        </is>
      </c>
      <c r="B16" s="49" t="inlineStr">
        <is>
          <t>25장</t>
        </is>
      </c>
      <c r="C16" s="49" t="n"/>
      <c r="D16" s="49" t="n"/>
    </row>
    <row r="17">
      <c r="A17" s="49" t="inlineStr">
        <is>
          <t>상증세법 §79</t>
        </is>
      </c>
      <c r="B17" s="49" t="inlineStr">
        <is>
          <t>25장</t>
        </is>
      </c>
      <c r="C17" s="49" t="n"/>
      <c r="D17" s="49" t="n"/>
    </row>
    <row r="18">
      <c r="A18" s="49" t="inlineStr">
        <is>
          <t>상증세법 시행규칙 §10의5</t>
        </is>
      </c>
      <c r="B18" s="49" t="inlineStr">
        <is>
          <t>16장</t>
        </is>
      </c>
      <c r="C18" s="49" t="n"/>
      <c r="D18" s="49" t="n"/>
    </row>
    <row r="19">
      <c r="A19" s="49" t="inlineStr">
        <is>
          <t>상증세법 시행령 §11④</t>
        </is>
      </c>
      <c r="B19" s="49" t="inlineStr">
        <is>
          <t>05장</t>
        </is>
      </c>
      <c r="C19" s="49" t="n"/>
      <c r="D19" s="49" t="n"/>
    </row>
    <row r="20">
      <c r="A20" s="49" t="inlineStr">
        <is>
          <t>상증세법 시행령 §11⑤</t>
        </is>
      </c>
      <c r="B20" s="49" t="inlineStr">
        <is>
          <t>05장</t>
        </is>
      </c>
      <c r="C20" s="49" t="n"/>
      <c r="D20" s="49" t="n"/>
    </row>
    <row r="21">
      <c r="A21" s="49" t="inlineStr">
        <is>
          <t>상증세법 시행령 §159</t>
        </is>
      </c>
      <c r="B21" s="49" t="inlineStr">
        <is>
          <t>17장</t>
        </is>
      </c>
      <c r="C21" s="49" t="n"/>
      <c r="D21" s="49" t="n"/>
    </row>
    <row r="22">
      <c r="A22" s="49" t="inlineStr">
        <is>
          <t>상증세법 시행령 §163⑨</t>
        </is>
      </c>
      <c r="B22" s="49" t="inlineStr">
        <is>
          <t>27장</t>
        </is>
      </c>
      <c r="C22" s="49" t="n"/>
      <c r="D22" s="49" t="n"/>
    </row>
    <row r="23">
      <c r="A23" s="49" t="inlineStr">
        <is>
          <t>상증세법 시행령 §26</t>
        </is>
      </c>
      <c r="B23" s="49" t="inlineStr">
        <is>
          <t>16장</t>
        </is>
      </c>
      <c r="C23" s="49" t="n"/>
      <c r="D23" s="49" t="n"/>
    </row>
    <row r="24">
      <c r="A24" s="49" t="inlineStr">
        <is>
          <t>상증세법 시행령 §27</t>
        </is>
      </c>
      <c r="B24" s="49" t="inlineStr">
        <is>
          <t>16장</t>
        </is>
      </c>
      <c r="C24" s="49" t="n"/>
      <c r="D24" s="49" t="n"/>
    </row>
    <row r="25">
      <c r="A25" s="49" t="inlineStr">
        <is>
          <t>상증세법 시행령 §34</t>
        </is>
      </c>
      <c r="B25" s="49" t="inlineStr">
        <is>
          <t>18장</t>
        </is>
      </c>
      <c r="C25" s="49" t="n"/>
      <c r="D25" s="49" t="n"/>
    </row>
    <row r="26">
      <c r="A26" s="49" t="inlineStr">
        <is>
          <t>상증세법 시행령 §49</t>
        </is>
      </c>
      <c r="B26" s="49" t="inlineStr">
        <is>
          <t>21장</t>
        </is>
      </c>
      <c r="C26" s="49" t="n"/>
      <c r="D26" s="49" t="n"/>
    </row>
    <row r="27">
      <c r="A27" s="49" t="inlineStr">
        <is>
          <t>상증세법 시행령 §49의2</t>
        </is>
      </c>
      <c r="B27" s="49" t="inlineStr">
        <is>
          <t>21장</t>
        </is>
      </c>
      <c r="C27" s="49" t="n"/>
      <c r="D27" s="49" t="n"/>
    </row>
    <row r="28">
      <c r="A28" s="49" t="inlineStr">
        <is>
          <t>상증세법 시행령 §4의2</t>
        </is>
      </c>
      <c r="B28" s="49" t="inlineStr">
        <is>
          <t>27장</t>
        </is>
      </c>
      <c r="C28" s="49" t="n"/>
      <c r="D28" s="49" t="n"/>
    </row>
    <row r="29">
      <c r="A29" s="49" t="inlineStr">
        <is>
          <t>상증세법 시행령 §50</t>
        </is>
      </c>
      <c r="B29" s="49" t="inlineStr">
        <is>
          <t>22장</t>
        </is>
      </c>
      <c r="C29" s="49" t="n"/>
      <c r="D29" s="49" t="n"/>
    </row>
    <row r="30">
      <c r="A30" s="49" t="inlineStr">
        <is>
          <t>상증세법 시행령 §54</t>
        </is>
      </c>
      <c r="B30" s="49" t="inlineStr">
        <is>
          <t>22장</t>
        </is>
      </c>
      <c r="C30" s="49" t="n"/>
      <c r="D30" s="49" t="n"/>
    </row>
    <row r="31">
      <c r="A31" s="49" t="inlineStr">
        <is>
          <t>상증세법 시행령 §74</t>
        </is>
      </c>
      <c r="B31" s="49" t="inlineStr">
        <is>
          <t>24장</t>
        </is>
      </c>
      <c r="C31" s="49" t="n"/>
      <c r="D31" s="49" t="n"/>
    </row>
    <row r="32">
      <c r="A32" s="49" t="inlineStr">
        <is>
          <t>상증세법 시행령 §78①</t>
        </is>
      </c>
      <c r="B32" s="49" t="inlineStr">
        <is>
          <t>01, 25장</t>
        </is>
      </c>
      <c r="C32" s="49" t="n"/>
      <c r="D32" s="49" t="n"/>
    </row>
    <row r="33">
      <c r="A33" s="49" t="inlineStr">
        <is>
          <t>상증세법 시행령 §9②</t>
        </is>
      </c>
      <c r="B33" s="49" t="inlineStr">
        <is>
          <t>07장</t>
        </is>
      </c>
      <c r="C33" s="49" t="n"/>
      <c r="D33" s="49" t="n"/>
    </row>
    <row r="34">
      <c r="A34" s="49" t="inlineStr">
        <is>
          <t>상증세법 제13조</t>
        </is>
      </c>
      <c r="B34" s="49" t="inlineStr">
        <is>
          <t>01, 06장</t>
        </is>
      </c>
      <c r="C34" s="49" t="n"/>
      <c r="D34" s="49" t="n"/>
    </row>
    <row r="35">
      <c r="A35" s="49" t="inlineStr">
        <is>
          <t>상증세법 제14조</t>
        </is>
      </c>
      <c r="B35" s="49" t="inlineStr">
        <is>
          <t>07장</t>
        </is>
      </c>
      <c r="C35" s="49" t="n"/>
      <c r="D35" s="49" t="n"/>
    </row>
    <row r="36">
      <c r="A36" s="49" t="inlineStr">
        <is>
          <t>상증세법 제15조</t>
        </is>
      </c>
      <c r="B36" s="49" t="inlineStr">
        <is>
          <t>05장</t>
        </is>
      </c>
      <c r="C36" s="49" t="n"/>
      <c r="D36" s="49" t="n"/>
    </row>
    <row r="37">
      <c r="A37" s="49" t="inlineStr">
        <is>
          <t>상증세법 제18조</t>
        </is>
      </c>
      <c r="B37" s="49" t="inlineStr">
        <is>
          <t>08장</t>
        </is>
      </c>
      <c r="C37" s="49" t="n"/>
      <c r="D37" s="49" t="n"/>
    </row>
    <row r="38">
      <c r="A38" s="49" t="inlineStr">
        <is>
          <t>상증세법 제18조의2</t>
        </is>
      </c>
      <c r="B38" s="49" t="inlineStr">
        <is>
          <t>11장</t>
        </is>
      </c>
      <c r="C38" s="49" t="n"/>
      <c r="D38" s="49" t="n"/>
    </row>
    <row r="39">
      <c r="A39" s="49" t="inlineStr">
        <is>
          <t>상증세법 제18조의3</t>
        </is>
      </c>
      <c r="B39" s="49" t="inlineStr">
        <is>
          <t>11장</t>
        </is>
      </c>
      <c r="C39" s="49" t="n"/>
      <c r="D39" s="49" t="n"/>
    </row>
    <row r="40">
      <c r="A40" s="49" t="inlineStr">
        <is>
          <t>상증세법 제19조</t>
        </is>
      </c>
      <c r="B40" s="49" t="inlineStr">
        <is>
          <t>09장</t>
        </is>
      </c>
      <c r="C40" s="49" t="n"/>
      <c r="D40" s="49" t="n"/>
    </row>
    <row r="41">
      <c r="A41" s="49" t="inlineStr">
        <is>
          <t>상증세법 제19조 제4항</t>
        </is>
      </c>
      <c r="B41" s="49" t="inlineStr">
        <is>
          <t>09, 12장</t>
        </is>
      </c>
      <c r="C41" s="49" t="n"/>
      <c r="D41" s="49" t="n"/>
    </row>
    <row r="42">
      <c r="A42" s="49" t="inlineStr">
        <is>
          <t>상증세법 제20조 제1항</t>
        </is>
      </c>
      <c r="B42" s="49" t="inlineStr">
        <is>
          <t>08장</t>
        </is>
      </c>
      <c r="C42" s="49" t="n"/>
      <c r="D42" s="49" t="n"/>
    </row>
    <row r="43">
      <c r="A43" s="49" t="inlineStr">
        <is>
          <t>상증세법 제21조</t>
        </is>
      </c>
      <c r="B43" s="49" t="inlineStr">
        <is>
          <t>08장</t>
        </is>
      </c>
      <c r="C43" s="49" t="n"/>
      <c r="D43" s="49" t="n"/>
    </row>
    <row r="44">
      <c r="A44" s="49" t="inlineStr">
        <is>
          <t>상증세법 제21조 제1항</t>
        </is>
      </c>
      <c r="B44" s="49" t="inlineStr">
        <is>
          <t>08장</t>
        </is>
      </c>
      <c r="C44" s="49" t="n"/>
      <c r="D44" s="49" t="n"/>
    </row>
    <row r="45">
      <c r="A45" s="49" t="inlineStr">
        <is>
          <t>상증세법 제24조</t>
        </is>
      </c>
      <c r="B45" s="49" t="inlineStr">
        <is>
          <t>08장</t>
        </is>
      </c>
      <c r="C45" s="49" t="n"/>
      <c r="D45" s="49" t="n"/>
    </row>
    <row r="46">
      <c r="A46" s="49" t="inlineStr">
        <is>
          <t>상증세법 제25조 제2항</t>
        </is>
      </c>
      <c r="B46" s="49" t="inlineStr">
        <is>
          <t>12장</t>
        </is>
      </c>
      <c r="C46" s="49" t="n"/>
      <c r="D46" s="49" t="n"/>
    </row>
    <row r="47">
      <c r="A47" s="49" t="inlineStr">
        <is>
          <t>상증세법 제26조</t>
        </is>
      </c>
      <c r="B47" s="49" t="inlineStr">
        <is>
          <t>12장</t>
        </is>
      </c>
      <c r="C47" s="49" t="n"/>
      <c r="D47" s="49" t="n"/>
    </row>
    <row r="48">
      <c r="A48" s="49" t="inlineStr">
        <is>
          <t>상증세법 제27조</t>
        </is>
      </c>
      <c r="B48" s="49" t="inlineStr">
        <is>
          <t>12장</t>
        </is>
      </c>
      <c r="C48" s="49" t="n"/>
      <c r="D48" s="49" t="n"/>
    </row>
    <row r="49">
      <c r="A49" s="49" t="inlineStr">
        <is>
          <t>상증세법 제28조</t>
        </is>
      </c>
      <c r="B49" s="49" t="inlineStr">
        <is>
          <t>06, 12장</t>
        </is>
      </c>
      <c r="C49" s="49" t="n"/>
      <c r="D49" s="49" t="n"/>
    </row>
    <row r="50">
      <c r="A50" s="49" t="inlineStr">
        <is>
          <t>상증세법 제28조 제2항</t>
        </is>
      </c>
      <c r="B50" s="49" t="inlineStr">
        <is>
          <t>09장</t>
        </is>
      </c>
      <c r="C50" s="49" t="n"/>
      <c r="D50" s="49" t="n"/>
    </row>
    <row r="51">
      <c r="A51" s="49" t="inlineStr">
        <is>
          <t>상증세법 제29조</t>
        </is>
      </c>
      <c r="B51" s="49" t="inlineStr">
        <is>
          <t>12장</t>
        </is>
      </c>
      <c r="C51" s="49" t="n"/>
      <c r="D51" s="49" t="n"/>
    </row>
    <row r="52">
      <c r="A52" s="49" t="inlineStr">
        <is>
          <t>상증세법 제2조</t>
        </is>
      </c>
      <c r="B52" s="49" t="inlineStr">
        <is>
          <t>01, 04, 14장</t>
        </is>
      </c>
      <c r="C52" s="49" t="n"/>
      <c r="D52" s="49" t="n"/>
    </row>
    <row r="53">
      <c r="A53" s="49" t="inlineStr">
        <is>
          <t>상증세법 제30조</t>
        </is>
      </c>
      <c r="B53" s="49" t="inlineStr">
        <is>
          <t>12장</t>
        </is>
      </c>
      <c r="C53" s="49" t="n"/>
      <c r="D53" s="49" t="n"/>
    </row>
    <row r="54">
      <c r="A54" s="49" t="inlineStr">
        <is>
          <t>상증세법 제3조</t>
        </is>
      </c>
      <c r="B54" s="49" t="inlineStr">
        <is>
          <t>01장</t>
        </is>
      </c>
      <c r="C54" s="49" t="n"/>
      <c r="D54" s="49" t="n"/>
    </row>
    <row r="55">
      <c r="A55" s="49" t="inlineStr">
        <is>
          <t>상증세법 제3조의2</t>
        </is>
      </c>
      <c r="B55" s="49" t="inlineStr">
        <is>
          <t>01, 04장</t>
        </is>
      </c>
      <c r="C55" s="49" t="n"/>
      <c r="D55" s="49" t="n"/>
    </row>
    <row r="56">
      <c r="A56" s="49" t="inlineStr">
        <is>
          <t>상증세법 제47조</t>
        </is>
      </c>
      <c r="B56" s="49" t="inlineStr">
        <is>
          <t>17장</t>
        </is>
      </c>
      <c r="C56" s="49" t="n"/>
      <c r="D56" s="49" t="n"/>
    </row>
    <row r="57">
      <c r="A57" s="49" t="inlineStr">
        <is>
          <t>상증세법 제47조 제2항</t>
        </is>
      </c>
      <c r="B57" s="49" t="inlineStr">
        <is>
          <t>01장</t>
        </is>
      </c>
      <c r="C57" s="49" t="n"/>
      <c r="D57" s="49" t="n"/>
    </row>
    <row r="58">
      <c r="A58" s="49" t="inlineStr">
        <is>
          <t>상증세법 제4조</t>
        </is>
      </c>
      <c r="B58" s="49" t="inlineStr">
        <is>
          <t>14장</t>
        </is>
      </c>
      <c r="C58" s="49" t="n"/>
      <c r="D58" s="49" t="n"/>
    </row>
    <row r="59">
      <c r="A59" s="49" t="inlineStr">
        <is>
          <t>상증세법 제4조 제4항</t>
        </is>
      </c>
      <c r="B59" s="49" t="inlineStr">
        <is>
          <t>14장</t>
        </is>
      </c>
      <c r="C59" s="49" t="n"/>
      <c r="D59" s="49" t="n"/>
    </row>
    <row r="60">
      <c r="A60" s="49" t="inlineStr">
        <is>
          <t>상증세법 제4조의2</t>
        </is>
      </c>
      <c r="B60" s="49" t="inlineStr">
        <is>
          <t>01, 14장</t>
        </is>
      </c>
      <c r="C60" s="49" t="n"/>
      <c r="D60" s="49" t="n"/>
    </row>
    <row r="61">
      <c r="A61" s="49" t="inlineStr">
        <is>
          <t>상증세법 제53조</t>
        </is>
      </c>
      <c r="B61" s="49" t="inlineStr">
        <is>
          <t>15장</t>
        </is>
      </c>
      <c r="C61" s="49" t="n"/>
      <c r="D61" s="49" t="n"/>
    </row>
    <row r="62">
      <c r="A62" s="49" t="inlineStr">
        <is>
          <t>상증세법 제53조의2</t>
        </is>
      </c>
      <c r="B62" s="49" t="inlineStr">
        <is>
          <t>15장</t>
        </is>
      </c>
      <c r="C62" s="49" t="n"/>
      <c r="D62" s="49" t="n"/>
    </row>
    <row r="63">
      <c r="A63" s="49" t="inlineStr">
        <is>
          <t>상증세법 제56조</t>
        </is>
      </c>
      <c r="B63" s="49" t="inlineStr">
        <is>
          <t>01장</t>
        </is>
      </c>
      <c r="C63" s="49" t="n"/>
      <c r="D63" s="49" t="n"/>
    </row>
    <row r="64">
      <c r="A64" s="49" t="inlineStr">
        <is>
          <t>상증세법 제60조</t>
        </is>
      </c>
      <c r="B64" s="49" t="inlineStr">
        <is>
          <t>21장</t>
        </is>
      </c>
      <c r="C64" s="49" t="n"/>
      <c r="D64" s="49" t="n"/>
    </row>
    <row r="65">
      <c r="A65" s="49" t="inlineStr">
        <is>
          <t>상증세법 제67조</t>
        </is>
      </c>
      <c r="B65" s="49" t="inlineStr">
        <is>
          <t>01장</t>
        </is>
      </c>
      <c r="C65" s="49" t="n"/>
      <c r="D65" s="49" t="n"/>
    </row>
    <row r="66">
      <c r="A66" s="49" t="inlineStr">
        <is>
          <t>상증세법 제68조</t>
        </is>
      </c>
      <c r="B66" s="49" t="inlineStr">
        <is>
          <t>01장</t>
        </is>
      </c>
      <c r="C66" s="49" t="n"/>
      <c r="D66" s="49" t="n"/>
    </row>
    <row r="67">
      <c r="A67" s="49" t="inlineStr">
        <is>
          <t>상증세법 제69조</t>
        </is>
      </c>
      <c r="B67" s="49" t="inlineStr">
        <is>
          <t>12장</t>
        </is>
      </c>
      <c r="C67" s="49" t="n"/>
      <c r="D67" s="49" t="n"/>
    </row>
    <row r="68">
      <c r="A68" s="49" t="inlineStr">
        <is>
          <t>상증세법 제6조</t>
        </is>
      </c>
      <c r="B68" s="49" t="inlineStr">
        <is>
          <t>01장</t>
        </is>
      </c>
      <c r="C68" s="49" t="n"/>
      <c r="D68" s="49" t="n"/>
    </row>
    <row r="69">
      <c r="A69" s="49" t="inlineStr">
        <is>
          <t>상증세법 제76조</t>
        </is>
      </c>
      <c r="B69" s="49" t="inlineStr">
        <is>
          <t>01장</t>
        </is>
      </c>
      <c r="C69" s="49" t="n"/>
      <c r="D69" s="49" t="n"/>
    </row>
    <row r="70">
      <c r="A70" s="49" t="inlineStr">
        <is>
          <t>상증세법 제8조</t>
        </is>
      </c>
      <c r="B70" s="49" t="inlineStr">
        <is>
          <t>05장</t>
        </is>
      </c>
      <c r="C70" s="49" t="n"/>
      <c r="D70" s="49" t="n"/>
    </row>
    <row r="71">
      <c r="A71" s="49" t="inlineStr">
        <is>
          <t>상증세법(추정) §1</t>
        </is>
      </c>
      <c r="B71" s="49" t="inlineStr">
        <is>
          <t>02장</t>
        </is>
      </c>
      <c r="C71" s="49" t="n"/>
      <c r="D71" s="49" t="n"/>
    </row>
    <row r="72">
      <c r="A72" s="49" t="inlineStr">
        <is>
          <t>상증세법(추정) §10</t>
        </is>
      </c>
      <c r="B72" s="49" t="inlineStr">
        <is>
          <t>05장</t>
        </is>
      </c>
      <c r="C72" s="49" t="n"/>
      <c r="D72" s="49" t="n"/>
    </row>
    <row r="73">
      <c r="A73" s="49" t="inlineStr">
        <is>
          <t>상증세법(추정) §1001</t>
        </is>
      </c>
      <c r="B73" s="49" t="inlineStr">
        <is>
          <t>03장</t>
        </is>
      </c>
      <c r="C73" s="49" t="n"/>
      <c r="D73" s="49" t="n"/>
    </row>
    <row r="74">
      <c r="A74" s="49" t="inlineStr">
        <is>
          <t>상증세법(추정) §1003</t>
        </is>
      </c>
      <c r="B74" s="49" t="inlineStr">
        <is>
          <t>03장</t>
        </is>
      </c>
      <c r="C74" s="49" t="n"/>
      <c r="D74" s="49" t="n"/>
    </row>
    <row r="75">
      <c r="A75" s="49" t="inlineStr">
        <is>
          <t>상증세법(추정) §1003②</t>
        </is>
      </c>
      <c r="B75" s="49" t="inlineStr">
        <is>
          <t>03장</t>
        </is>
      </c>
      <c r="C75" s="49" t="n"/>
      <c r="D75" s="49" t="n"/>
    </row>
    <row r="76">
      <c r="A76" s="49" t="inlineStr">
        <is>
          <t>상증세법(추정) §1004의2</t>
        </is>
      </c>
      <c r="B76" s="49" t="inlineStr">
        <is>
          <t>03장</t>
        </is>
      </c>
      <c r="C76" s="49" t="n"/>
      <c r="D76" s="49" t="n"/>
    </row>
    <row r="77">
      <c r="A77" s="49" t="inlineStr">
        <is>
          <t>상증세법(추정) §1009</t>
        </is>
      </c>
      <c r="B77" s="49" t="inlineStr">
        <is>
          <t>03장</t>
        </is>
      </c>
      <c r="C77" s="49" t="n"/>
      <c r="D77" s="49" t="n"/>
    </row>
    <row r="78">
      <c r="A78" s="49" t="inlineStr">
        <is>
          <t>상증세법(추정) §1019</t>
        </is>
      </c>
      <c r="B78" s="49" t="inlineStr">
        <is>
          <t>03장</t>
        </is>
      </c>
      <c r="C78" s="49" t="n"/>
      <c r="D78" s="49" t="n"/>
    </row>
    <row r="79">
      <c r="A79" s="49" t="inlineStr">
        <is>
          <t>상증세법(추정) §1019④</t>
        </is>
      </c>
      <c r="B79" s="49" t="inlineStr">
        <is>
          <t>03장</t>
        </is>
      </c>
      <c r="C79" s="49" t="n"/>
      <c r="D79" s="49" t="n"/>
    </row>
    <row r="80">
      <c r="A80" s="49" t="inlineStr">
        <is>
          <t>상증세법(추정) §11</t>
        </is>
      </c>
      <c r="B80" s="49" t="inlineStr">
        <is>
          <t>07장</t>
        </is>
      </c>
      <c r="C80" s="49" t="n"/>
      <c r="D80" s="49" t="n"/>
    </row>
    <row r="81">
      <c r="A81" s="49" t="inlineStr">
        <is>
          <t>상증세법(추정) §12</t>
        </is>
      </c>
      <c r="B81" s="49" t="inlineStr">
        <is>
          <t>07장</t>
        </is>
      </c>
      <c r="C81" s="49" t="n"/>
      <c r="D81" s="49" t="n"/>
    </row>
    <row r="82">
      <c r="A82" s="49" t="inlineStr">
        <is>
          <t>상증세법(추정) §13</t>
        </is>
      </c>
      <c r="B82" s="49" t="inlineStr">
        <is>
          <t>28장</t>
        </is>
      </c>
      <c r="C82" s="49" t="n"/>
      <c r="D82" s="49" t="n"/>
    </row>
    <row r="83">
      <c r="A83" s="49" t="inlineStr">
        <is>
          <t>상증세법(추정) §16</t>
        </is>
      </c>
      <c r="B83" s="49" t="inlineStr">
        <is>
          <t>07, 26장</t>
        </is>
      </c>
      <c r="C83" s="49" t="n"/>
      <c r="D83" s="49" t="n"/>
    </row>
    <row r="84">
      <c r="A84" s="49" t="inlineStr">
        <is>
          <t>상증세법(추정) §16②</t>
        </is>
      </c>
      <c r="B84" s="49" t="inlineStr">
        <is>
          <t>26장</t>
        </is>
      </c>
      <c r="C84" s="49" t="n"/>
      <c r="D84" s="49" t="n"/>
    </row>
    <row r="85">
      <c r="A85" s="49" t="inlineStr">
        <is>
          <t>상증세법(추정) §17</t>
        </is>
      </c>
      <c r="B85" s="49" t="inlineStr">
        <is>
          <t>07장</t>
        </is>
      </c>
      <c r="C85" s="49" t="n"/>
      <c r="D85" s="49" t="n"/>
    </row>
    <row r="86">
      <c r="A86" s="49" t="inlineStr">
        <is>
          <t>상증세법(추정) §18</t>
        </is>
      </c>
      <c r="B86" s="49" t="inlineStr">
        <is>
          <t>13장</t>
        </is>
      </c>
      <c r="C86" s="49" t="n"/>
      <c r="D86" s="49" t="n"/>
    </row>
    <row r="87">
      <c r="A87" s="49" t="inlineStr">
        <is>
          <t>상증세법(추정) §19</t>
        </is>
      </c>
      <c r="B87" s="49" t="inlineStr">
        <is>
          <t>10장</t>
        </is>
      </c>
      <c r="C87" s="49" t="n"/>
      <c r="D87" s="49" t="n"/>
    </row>
    <row r="88">
      <c r="A88" s="49" t="inlineStr">
        <is>
          <t>상증세법(추정) §2</t>
        </is>
      </c>
      <c r="B88" s="49" t="inlineStr">
        <is>
          <t>06, 14, 20장</t>
        </is>
      </c>
      <c r="C88" s="49" t="n"/>
      <c r="D88" s="49" t="n"/>
    </row>
    <row r="89">
      <c r="A89" s="49" t="inlineStr">
        <is>
          <t>상증세법(추정) §22</t>
        </is>
      </c>
      <c r="B89" s="49" t="inlineStr">
        <is>
          <t>10장</t>
        </is>
      </c>
      <c r="C89" s="49" t="n"/>
      <c r="D89" s="49" t="n"/>
    </row>
    <row r="90">
      <c r="A90" s="49" t="inlineStr">
        <is>
          <t>상증세법(추정) §23</t>
        </is>
      </c>
      <c r="B90" s="49" t="inlineStr">
        <is>
          <t>10장</t>
        </is>
      </c>
      <c r="C90" s="49" t="n"/>
      <c r="D90" s="49" t="n"/>
    </row>
    <row r="91">
      <c r="A91" s="49" t="inlineStr">
        <is>
          <t>상증세법(추정) §23의2</t>
        </is>
      </c>
      <c r="B91" s="49" t="inlineStr">
        <is>
          <t>10장</t>
        </is>
      </c>
      <c r="C91" s="49" t="n"/>
      <c r="D91" s="49" t="n"/>
    </row>
    <row r="92">
      <c r="A92" s="49" t="inlineStr">
        <is>
          <t>상증세법(추정) §24</t>
        </is>
      </c>
      <c r="B92" s="49" t="inlineStr">
        <is>
          <t>10, 28, 99장</t>
        </is>
      </c>
      <c r="C92" s="49" t="n"/>
      <c r="D92" s="49" t="n"/>
    </row>
    <row r="93">
      <c r="A93" s="49" t="inlineStr">
        <is>
          <t>상증세법(추정) §26</t>
        </is>
      </c>
      <c r="B93" s="49" t="inlineStr">
        <is>
          <t>99장</t>
        </is>
      </c>
      <c r="C93" s="49" t="n"/>
      <c r="D93" s="49" t="n"/>
    </row>
    <row r="94">
      <c r="A94" s="49" t="inlineStr">
        <is>
          <t>상증세법(추정) §27</t>
        </is>
      </c>
      <c r="B94" s="49" t="inlineStr">
        <is>
          <t>10장</t>
        </is>
      </c>
      <c r="C94" s="49" t="n"/>
      <c r="D94" s="49" t="n"/>
    </row>
    <row r="95">
      <c r="A95" s="49" t="inlineStr">
        <is>
          <t>상증세법(추정) §29</t>
        </is>
      </c>
      <c r="B95" s="49" t="inlineStr">
        <is>
          <t>13장</t>
        </is>
      </c>
      <c r="C95" s="49" t="n"/>
      <c r="D95" s="49" t="n"/>
    </row>
    <row r="96">
      <c r="A96" s="49" t="inlineStr">
        <is>
          <t>상증세법(추정) §3</t>
        </is>
      </c>
      <c r="B96" s="49" t="inlineStr">
        <is>
          <t>13장</t>
        </is>
      </c>
      <c r="C96" s="49" t="n"/>
      <c r="D96" s="49" t="n"/>
    </row>
    <row r="97">
      <c r="A97" s="49" t="inlineStr">
        <is>
          <t>상증세법(추정) §30의5</t>
        </is>
      </c>
      <c r="B97" s="49" t="inlineStr">
        <is>
          <t>19장</t>
        </is>
      </c>
      <c r="C97" s="49" t="n"/>
      <c r="D97" s="49" t="n"/>
    </row>
    <row r="98">
      <c r="A98" s="49" t="inlineStr">
        <is>
          <t>상증세법(추정) §30의6</t>
        </is>
      </c>
      <c r="B98" s="49" t="inlineStr">
        <is>
          <t>19장</t>
        </is>
      </c>
      <c r="C98" s="49" t="n"/>
      <c r="D98" s="49" t="n"/>
    </row>
    <row r="99">
      <c r="A99" s="49" t="inlineStr">
        <is>
          <t>상증세법(추정) §31</t>
        </is>
      </c>
      <c r="B99" s="49" t="inlineStr">
        <is>
          <t>02장</t>
        </is>
      </c>
      <c r="C99" s="49" t="n"/>
      <c r="D99" s="49" t="n"/>
    </row>
    <row r="100">
      <c r="A100" s="49" t="inlineStr">
        <is>
          <t>상증세법(추정) §33</t>
        </is>
      </c>
      <c r="B100" s="49" t="inlineStr">
        <is>
          <t>14, 20장</t>
        </is>
      </c>
      <c r="C100" s="49" t="n"/>
      <c r="D100" s="49" t="n"/>
    </row>
    <row r="101">
      <c r="A101" s="49" t="inlineStr">
        <is>
          <t>상증세법(추정) §36</t>
        </is>
      </c>
      <c r="B101" s="49" t="inlineStr">
        <is>
          <t>16장</t>
        </is>
      </c>
      <c r="C101" s="49" t="n"/>
      <c r="D101" s="49" t="n"/>
    </row>
    <row r="102">
      <c r="A102" s="49" t="inlineStr">
        <is>
          <t>상증세법(추정) §37</t>
        </is>
      </c>
      <c r="B102" s="49" t="inlineStr">
        <is>
          <t>16장</t>
        </is>
      </c>
      <c r="C102" s="49" t="n"/>
      <c r="D102" s="49" t="n"/>
    </row>
    <row r="103">
      <c r="A103" s="49" t="inlineStr">
        <is>
          <t>상증세법(추정) §41의4</t>
        </is>
      </c>
      <c r="B103" s="49" t="inlineStr">
        <is>
          <t>16장</t>
        </is>
      </c>
      <c r="C103" s="49" t="n"/>
      <c r="D103" s="49" t="n"/>
    </row>
    <row r="104">
      <c r="A104" s="49" t="inlineStr">
        <is>
          <t>상증세법(추정) §42</t>
        </is>
      </c>
      <c r="B104" s="49" t="inlineStr">
        <is>
          <t>18장</t>
        </is>
      </c>
      <c r="C104" s="49" t="n"/>
      <c r="D104" s="49" t="n"/>
    </row>
    <row r="105">
      <c r="A105" s="49" t="inlineStr">
        <is>
          <t>상증세법(추정) §42의3</t>
        </is>
      </c>
      <c r="B105" s="49" t="inlineStr">
        <is>
          <t>14장</t>
        </is>
      </c>
      <c r="C105" s="49" t="n"/>
      <c r="D105" s="49" t="n"/>
    </row>
    <row r="106">
      <c r="A106" s="49" t="inlineStr">
        <is>
          <t>상증세법(추정) §44</t>
        </is>
      </c>
      <c r="B106" s="49" t="inlineStr">
        <is>
          <t>14, 18장</t>
        </is>
      </c>
      <c r="C106" s="49" t="n"/>
      <c r="D106" s="49" t="n"/>
    </row>
    <row r="107">
      <c r="A107" s="49" t="inlineStr">
        <is>
          <t>상증세법(추정) §45</t>
        </is>
      </c>
      <c r="B107" s="49" t="inlineStr">
        <is>
          <t>14, 16, 18장</t>
        </is>
      </c>
      <c r="C107" s="49" t="n"/>
      <c r="D107" s="49" t="n"/>
    </row>
    <row r="108">
      <c r="A108" s="49" t="inlineStr">
        <is>
          <t>상증세법(추정) §45의2</t>
        </is>
      </c>
      <c r="B108" s="49" t="inlineStr">
        <is>
          <t>18, 25장</t>
        </is>
      </c>
      <c r="C108" s="49" t="n"/>
      <c r="D108" s="49" t="n"/>
    </row>
    <row r="109">
      <c r="A109" s="49" t="inlineStr">
        <is>
          <t>상증세법(추정) §45의3</t>
        </is>
      </c>
      <c r="B109" s="49" t="inlineStr">
        <is>
          <t>18장</t>
        </is>
      </c>
      <c r="C109" s="49" t="n"/>
      <c r="D109" s="49" t="n"/>
    </row>
    <row r="110">
      <c r="A110" s="49" t="inlineStr">
        <is>
          <t>상증세법(추정) §45의4</t>
        </is>
      </c>
      <c r="B110" s="49" t="inlineStr">
        <is>
          <t>18장</t>
        </is>
      </c>
      <c r="C110" s="49" t="n"/>
      <c r="D110" s="49" t="n"/>
    </row>
    <row r="111">
      <c r="A111" s="49" t="inlineStr">
        <is>
          <t>상증세법(추정) §45의5</t>
        </is>
      </c>
      <c r="B111" s="49" t="inlineStr">
        <is>
          <t>18장</t>
        </is>
      </c>
      <c r="C111" s="49" t="n"/>
      <c r="D111" s="49" t="n"/>
    </row>
    <row r="112">
      <c r="A112" s="49" t="inlineStr">
        <is>
          <t>상증세법(추정) §46</t>
        </is>
      </c>
      <c r="B112" s="49" t="inlineStr">
        <is>
          <t>06장</t>
        </is>
      </c>
      <c r="C112" s="49" t="n"/>
      <c r="D112" s="49" t="n"/>
    </row>
    <row r="113">
      <c r="A113" s="49" t="inlineStr">
        <is>
          <t>상증세법(추정) §47</t>
        </is>
      </c>
      <c r="B113" s="49" t="inlineStr">
        <is>
          <t>02장</t>
        </is>
      </c>
      <c r="C113" s="49" t="n"/>
      <c r="D113" s="49" t="n"/>
    </row>
    <row r="114">
      <c r="A114" s="49" t="inlineStr">
        <is>
          <t>상증세법(추정) §47①</t>
        </is>
      </c>
      <c r="B114" s="49" t="inlineStr">
        <is>
          <t>06장</t>
        </is>
      </c>
      <c r="C114" s="49" t="n"/>
      <c r="D114" s="49" t="n"/>
    </row>
    <row r="115">
      <c r="A115" s="49" t="inlineStr">
        <is>
          <t>상증세법(추정) §47②</t>
        </is>
      </c>
      <c r="B115" s="49" t="inlineStr">
        <is>
          <t>15, 28장</t>
        </is>
      </c>
      <c r="C115" s="49" t="n"/>
      <c r="D115" s="49" t="n"/>
    </row>
    <row r="116">
      <c r="A116" s="49" t="inlineStr">
        <is>
          <t>상증세법(추정) §47③</t>
        </is>
      </c>
      <c r="B116" s="49" t="inlineStr">
        <is>
          <t>17장</t>
        </is>
      </c>
      <c r="C116" s="49" t="n"/>
      <c r="D116" s="49" t="n"/>
    </row>
    <row r="117">
      <c r="A117" s="49" t="inlineStr">
        <is>
          <t>상증세법(추정) §48</t>
        </is>
      </c>
      <c r="B117" s="49" t="inlineStr">
        <is>
          <t>26장</t>
        </is>
      </c>
      <c r="C117" s="49" t="n"/>
      <c r="D117" s="49" t="n"/>
    </row>
    <row r="118">
      <c r="A118" s="49" t="inlineStr">
        <is>
          <t>상증세법(추정) §48①</t>
        </is>
      </c>
      <c r="B118" s="49" t="inlineStr">
        <is>
          <t>06, 26장</t>
        </is>
      </c>
      <c r="C118" s="49" t="n"/>
      <c r="D118" s="49" t="n"/>
    </row>
    <row r="119">
      <c r="A119" s="49" t="inlineStr">
        <is>
          <t>상증세법(추정) §48②</t>
        </is>
      </c>
      <c r="B119" s="49" t="inlineStr">
        <is>
          <t>26장</t>
        </is>
      </c>
      <c r="C119" s="49" t="n"/>
      <c r="D119" s="49" t="n"/>
    </row>
    <row r="120">
      <c r="A120" s="49" t="inlineStr">
        <is>
          <t>상증세법(추정) §52</t>
        </is>
      </c>
      <c r="B120" s="49" t="inlineStr">
        <is>
          <t>06장</t>
        </is>
      </c>
      <c r="C120" s="49" t="n"/>
      <c r="D120" s="49" t="n"/>
    </row>
    <row r="121">
      <c r="A121" s="49" t="inlineStr">
        <is>
          <t>상증세법(추정) §52의2</t>
        </is>
      </c>
      <c r="B121" s="49" t="inlineStr">
        <is>
          <t>20장</t>
        </is>
      </c>
      <c r="C121" s="49" t="n"/>
      <c r="D121" s="49" t="n"/>
    </row>
    <row r="122">
      <c r="A122" s="49" t="inlineStr">
        <is>
          <t>상증세법(추정) §52의2①</t>
        </is>
      </c>
      <c r="B122" s="49" t="inlineStr">
        <is>
          <t>06장</t>
        </is>
      </c>
      <c r="C122" s="49" t="n"/>
      <c r="D122" s="49" t="n"/>
    </row>
    <row r="123">
      <c r="A123" s="49" t="inlineStr">
        <is>
          <t>상증세법(추정) §53</t>
        </is>
      </c>
      <c r="B123" s="49" t="inlineStr">
        <is>
          <t>02, 15, 28장</t>
        </is>
      </c>
      <c r="C123" s="49" t="n"/>
      <c r="D123" s="49" t="n"/>
    </row>
    <row r="124">
      <c r="A124" s="49" t="inlineStr">
        <is>
          <t>상증세법(추정) §55</t>
        </is>
      </c>
      <c r="B124" s="49" t="inlineStr">
        <is>
          <t>02장</t>
        </is>
      </c>
      <c r="C124" s="49" t="n"/>
      <c r="D124" s="49" t="n"/>
    </row>
    <row r="125">
      <c r="A125" s="49" t="inlineStr">
        <is>
          <t>상증세법(추정) §56</t>
        </is>
      </c>
      <c r="B125" s="49" t="inlineStr">
        <is>
          <t>02, 99장</t>
        </is>
      </c>
      <c r="C125" s="49" t="n"/>
      <c r="D125" s="49" t="n"/>
    </row>
    <row r="126">
      <c r="A126" s="49" t="inlineStr">
        <is>
          <t>상증세법(추정) §60</t>
        </is>
      </c>
      <c r="B126" s="49" t="inlineStr">
        <is>
          <t>02장</t>
        </is>
      </c>
      <c r="C126" s="49" t="n"/>
      <c r="D126" s="49" t="n"/>
    </row>
    <row r="127">
      <c r="A127" s="49" t="inlineStr">
        <is>
          <t>상증세법(추정) §61⑤</t>
        </is>
      </c>
      <c r="B127" s="49" t="inlineStr">
        <is>
          <t>22장</t>
        </is>
      </c>
      <c r="C127" s="49" t="n"/>
      <c r="D127" s="49" t="n"/>
    </row>
    <row r="128">
      <c r="A128" s="49" t="inlineStr">
        <is>
          <t>상증세법(추정) §63③</t>
        </is>
      </c>
      <c r="B128" s="49" t="inlineStr">
        <is>
          <t>22장</t>
        </is>
      </c>
      <c r="C128" s="49" t="n"/>
      <c r="D128" s="49" t="n"/>
    </row>
    <row r="129">
      <c r="A129" s="49" t="inlineStr">
        <is>
          <t>상증세법(추정) §67</t>
        </is>
      </c>
      <c r="B129" s="49" t="inlineStr">
        <is>
          <t>02장</t>
        </is>
      </c>
      <c r="C129" s="49" t="n"/>
      <c r="D129" s="49" t="n"/>
    </row>
    <row r="130">
      <c r="A130" s="49" t="inlineStr">
        <is>
          <t>상증세법(추정) §67④</t>
        </is>
      </c>
      <c r="B130" s="49" t="inlineStr">
        <is>
          <t>02, 13장</t>
        </is>
      </c>
      <c r="C130" s="49" t="n"/>
      <c r="D130" s="49" t="n"/>
    </row>
    <row r="131">
      <c r="A131" s="49" t="inlineStr">
        <is>
          <t>상증세법(추정) §7</t>
        </is>
      </c>
      <c r="B131" s="49" t="inlineStr">
        <is>
          <t>02장</t>
        </is>
      </c>
      <c r="C131" s="49" t="n"/>
      <c r="D131" s="49" t="n"/>
    </row>
    <row r="132">
      <c r="A132" s="49" t="inlineStr">
        <is>
          <t>상증세법(추정) §73의2</t>
        </is>
      </c>
      <c r="B132" s="49" t="inlineStr">
        <is>
          <t>24장</t>
        </is>
      </c>
      <c r="C132" s="49" t="n"/>
      <c r="D132" s="49" t="n"/>
    </row>
    <row r="133">
      <c r="A133" s="49" t="inlineStr">
        <is>
          <t>상증세법(추정) §76</t>
        </is>
      </c>
      <c r="B133" s="49" t="inlineStr">
        <is>
          <t>02장</t>
        </is>
      </c>
      <c r="C133" s="49" t="n"/>
      <c r="D133" s="49" t="n"/>
    </row>
    <row r="134">
      <c r="A134" s="49" t="inlineStr">
        <is>
          <t>상증세법(추정) §76⑤</t>
        </is>
      </c>
      <c r="B134" s="49" t="inlineStr">
        <is>
          <t>25장</t>
        </is>
      </c>
      <c r="C134" s="49" t="n"/>
      <c r="D134" s="49" t="n"/>
    </row>
    <row r="135">
      <c r="A135" s="49" t="inlineStr">
        <is>
          <t>상증세법(추정) §8</t>
        </is>
      </c>
      <c r="B135" s="49" t="inlineStr">
        <is>
          <t>05장</t>
        </is>
      </c>
      <c r="C135" s="49" t="n"/>
      <c r="D135" s="49" t="n"/>
    </row>
    <row r="136">
      <c r="A136" s="49" t="inlineStr">
        <is>
          <t>상증세법(추정) §9</t>
        </is>
      </c>
      <c r="B136" s="49" t="inlineStr">
        <is>
          <t>05, 20장</t>
        </is>
      </c>
      <c r="C136" s="49" t="n"/>
      <c r="D136" s="49" t="n"/>
    </row>
    <row r="137">
      <c r="A137" s="49" t="inlineStr">
        <is>
          <t>상증세법(추정) 제10조</t>
        </is>
      </c>
      <c r="B137" s="49" t="inlineStr">
        <is>
          <t>05장</t>
        </is>
      </c>
      <c r="C137" s="49" t="n"/>
      <c r="D137" s="49" t="n"/>
    </row>
    <row r="138">
      <c r="A138" s="49" t="inlineStr">
        <is>
          <t>상증세법(추정) 제13조 제3항</t>
        </is>
      </c>
      <c r="B138" s="49" t="inlineStr">
        <is>
          <t>06장</t>
        </is>
      </c>
      <c r="C138" s="49" t="n"/>
      <c r="D138" s="49" t="n"/>
    </row>
    <row r="139">
      <c r="A139" s="49" t="inlineStr">
        <is>
          <t>상증세법(추정) 제15조</t>
        </is>
      </c>
      <c r="B139" s="49" t="inlineStr">
        <is>
          <t>05장</t>
        </is>
      </c>
      <c r="C139" s="49" t="n"/>
      <c r="D139" s="49" t="n"/>
    </row>
    <row r="140">
      <c r="A140" s="49" t="inlineStr">
        <is>
          <t>상증세법(추정) 제19조 제1항</t>
        </is>
      </c>
      <c r="B140" s="49" t="inlineStr">
        <is>
          <t>09장</t>
        </is>
      </c>
      <c r="C140" s="49" t="n"/>
      <c r="D140" s="49" t="n"/>
    </row>
    <row r="141">
      <c r="A141" s="49" t="inlineStr">
        <is>
          <t>상증세법(추정) 제20조</t>
        </is>
      </c>
      <c r="B141" s="49" t="inlineStr">
        <is>
          <t>08장</t>
        </is>
      </c>
      <c r="C141" s="49" t="n"/>
      <c r="D141" s="49" t="n"/>
    </row>
    <row r="142">
      <c r="A142" s="49" t="inlineStr">
        <is>
          <t>상증세법(추정) 제20조 제1항</t>
        </is>
      </c>
      <c r="B142" s="49" t="inlineStr">
        <is>
          <t>08장</t>
        </is>
      </c>
      <c r="C142" s="49" t="n"/>
      <c r="D142" s="49" t="n"/>
    </row>
    <row r="143">
      <c r="A143" s="49" t="inlineStr">
        <is>
          <t>상증세법(추정) 제21조</t>
        </is>
      </c>
      <c r="B143" s="49" t="inlineStr">
        <is>
          <t>08장</t>
        </is>
      </c>
      <c r="C143" s="49" t="n"/>
      <c r="D143" s="49" t="n"/>
    </row>
    <row r="144">
      <c r="A144" s="49" t="inlineStr">
        <is>
          <t>상증세법(추정) 제21조 제2항</t>
        </is>
      </c>
      <c r="B144" s="49" t="inlineStr">
        <is>
          <t>08장</t>
        </is>
      </c>
      <c r="C144" s="49" t="n"/>
      <c r="D144" s="49" t="n"/>
    </row>
    <row r="145">
      <c r="A145" s="49" t="inlineStr">
        <is>
          <t>상증세법(추정) 제28조</t>
        </is>
      </c>
      <c r="B145" s="49" t="inlineStr">
        <is>
          <t>06장</t>
        </is>
      </c>
      <c r="C145" s="49" t="n"/>
      <c r="D145" s="49" t="n"/>
    </row>
    <row r="146">
      <c r="A146" s="49" t="inlineStr">
        <is>
          <t>상증세법(추정) 제28조 제1항</t>
        </is>
      </c>
      <c r="B146" s="49" t="inlineStr">
        <is>
          <t>06장</t>
        </is>
      </c>
      <c r="C146" s="49" t="n"/>
      <c r="D146" s="49" t="n"/>
    </row>
    <row r="147">
      <c r="A147" s="49" t="inlineStr">
        <is>
          <t>상증세법(추정) 제2조</t>
        </is>
      </c>
      <c r="B147" s="49" t="inlineStr">
        <is>
          <t>04장</t>
        </is>
      </c>
      <c r="C147" s="49" t="n"/>
      <c r="D147" s="49" t="n"/>
    </row>
    <row r="148">
      <c r="A148" s="49" t="inlineStr">
        <is>
          <t>상증세법(추정) 제3조의2</t>
        </is>
      </c>
      <c r="B148" s="49" t="inlineStr">
        <is>
          <t>01장</t>
        </is>
      </c>
      <c r="C148" s="49" t="n"/>
      <c r="D148" s="49" t="n"/>
    </row>
    <row r="149">
      <c r="A149" s="49" t="inlineStr">
        <is>
          <t>상증세법(추정) 제47조 제2항</t>
        </is>
      </c>
      <c r="B149" s="49" t="inlineStr">
        <is>
          <t>15장</t>
        </is>
      </c>
      <c r="C149" s="49" t="n"/>
      <c r="D149" s="49" t="n"/>
    </row>
    <row r="150">
      <c r="A150" s="49" t="inlineStr">
        <is>
          <t>상증세법(추정) 제4조 제4항</t>
        </is>
      </c>
      <c r="B150" s="49" t="inlineStr">
        <is>
          <t>14장</t>
        </is>
      </c>
      <c r="C150" s="49" t="n"/>
      <c r="D150" s="49" t="n"/>
    </row>
    <row r="151">
      <c r="A151" s="49" t="inlineStr">
        <is>
          <t>소득세법 §97의2</t>
        </is>
      </c>
      <c r="B151" s="49" t="inlineStr">
        <is>
          <t>17, 27장</t>
        </is>
      </c>
      <c r="C151" s="49" t="n"/>
      <c r="D151" s="49" t="n"/>
    </row>
    <row r="152">
      <c r="A152" s="49" t="inlineStr">
        <is>
          <t>조세특례제한법 §30의5</t>
        </is>
      </c>
      <c r="B152" s="49" t="inlineStr">
        <is>
          <t>19장</t>
        </is>
      </c>
      <c r="C152" s="49" t="n"/>
      <c r="D152" s="49" t="n"/>
    </row>
    <row r="153">
      <c r="A153" s="49" t="inlineStr">
        <is>
          <t>조세특례제한법 §30의6</t>
        </is>
      </c>
      <c r="B153" s="49" t="inlineStr">
        <is>
          <t>19장</t>
        </is>
      </c>
      <c r="C153" s="49" t="n"/>
      <c r="D153" s="49" t="n"/>
    </row>
  </sheetData>
  <autoFilter ref="A1:D1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  <col width="14" customWidth="1" min="3" max="3"/>
    <col width="24" customWidth="1" min="4" max="4"/>
    <col width="20" customWidth="1" min="5" max="5"/>
  </cols>
  <sheetData>
    <row r="1">
      <c r="A1" s="1" t="inlineStr">
        <is>
          <t>수치·규정 (책 기재)</t>
        </is>
      </c>
      <c r="B1" s="1" t="inlineStr">
        <is>
          <t>근거</t>
        </is>
      </c>
      <c r="C1" s="1" t="inlineStr">
        <is>
          <t>장</t>
        </is>
      </c>
      <c r="D1" s="1" t="inlineStr">
        <is>
          <t>law.go.kr 대조 (기입)</t>
        </is>
      </c>
      <c r="E1" s="1" t="inlineStr">
        <is>
          <t>비고</t>
        </is>
      </c>
    </row>
    <row r="2">
      <c r="A2" s="49" t="inlineStr">
        <is>
          <t>세율표 10~50% + 누진공제 0/1천만/6천만/1.6억/4.6억</t>
        </is>
      </c>
      <c r="B2" s="49" t="inlineStr">
        <is>
          <t>§26</t>
        </is>
      </c>
      <c r="C2" s="49" t="inlineStr">
        <is>
          <t>12장·부록C</t>
        </is>
      </c>
      <c r="D2" s="49" t="n"/>
      <c r="E2" s="49" t="n"/>
    </row>
    <row r="3">
      <c r="A3" s="49" t="inlineStr">
        <is>
          <t>기초공제 2억 / 일괄공제 5억</t>
        </is>
      </c>
      <c r="B3" s="49" t="inlineStr">
        <is>
          <t>§18·§21</t>
        </is>
      </c>
      <c r="C3" s="49" t="inlineStr">
        <is>
          <t>8장</t>
        </is>
      </c>
      <c r="D3" s="49" t="n"/>
      <c r="E3" s="49" t="n"/>
    </row>
    <row r="4">
      <c r="A4" s="49" t="inlineStr">
        <is>
          <t>자녀 5천만·미성년 1천만×(19-나이)·연로 65세 5천만·장애인 1천만×기대여명</t>
        </is>
      </c>
      <c r="B4" s="49" t="inlineStr">
        <is>
          <t>§20</t>
        </is>
      </c>
      <c r="C4" s="49" t="inlineStr">
        <is>
          <t>8장</t>
        </is>
      </c>
      <c r="D4" s="49" t="n"/>
      <c r="E4" s="49" t="n"/>
    </row>
    <row r="5">
      <c r="A5" s="49" t="inlineStr">
        <is>
          <t>배우자공제 최소 5억~최대 30억·분할기한 신고기한+9개월</t>
        </is>
      </c>
      <c r="B5" s="49" t="inlineStr">
        <is>
          <t>§19</t>
        </is>
      </c>
      <c r="C5" s="49" t="inlineStr">
        <is>
          <t>9장</t>
        </is>
      </c>
      <c r="D5" s="49" t="n"/>
      <c r="E5" s="49" t="n"/>
    </row>
    <row r="6">
      <c r="A6" s="49" t="inlineStr">
        <is>
          <t>금융재산공제 max(20%,2천만)·한도 2억</t>
        </is>
      </c>
      <c r="B6" s="49" t="inlineStr">
        <is>
          <t>§22</t>
        </is>
      </c>
      <c r="C6" s="49" t="inlineStr">
        <is>
          <t>10장</t>
        </is>
      </c>
      <c r="D6" s="49" t="n"/>
      <c r="E6" s="49" t="n"/>
    </row>
    <row r="7">
      <c r="A7" s="49" t="inlineStr">
        <is>
          <t>동거주택 100%·6억</t>
        </is>
      </c>
      <c r="B7" s="49" t="inlineStr">
        <is>
          <t>§23의2</t>
        </is>
      </c>
      <c r="C7" s="49" t="inlineStr">
        <is>
          <t>10장</t>
        </is>
      </c>
      <c r="D7" s="49" t="n"/>
      <c r="E7" s="49" t="n"/>
    </row>
    <row r="8">
      <c r="A8" s="49" t="inlineStr">
        <is>
          <t>가업상속 300/400/600억·사후관리 5년·고용 90%</t>
        </is>
      </c>
      <c r="B8" s="49" t="inlineStr">
        <is>
          <t>§18의2</t>
        </is>
      </c>
      <c r="C8" s="49" t="inlineStr">
        <is>
          <t>11장</t>
        </is>
      </c>
      <c r="D8" s="49" t="n"/>
      <c r="E8" s="49" t="n"/>
    </row>
    <row r="9">
      <c r="A9" s="49" t="inlineStr">
        <is>
          <t>세대생략 할증 30%(미성년 20억↑ 40%)</t>
        </is>
      </c>
      <c r="B9" s="49" t="inlineStr">
        <is>
          <t>§27</t>
        </is>
      </c>
      <c r="C9" s="49" t="inlineStr">
        <is>
          <t>12장</t>
        </is>
      </c>
      <c r="D9" s="49" t="n"/>
      <c r="E9" s="49" t="n"/>
    </row>
    <row r="10">
      <c r="A10" s="49" t="inlineStr">
        <is>
          <t>신고세액공제 3%</t>
        </is>
      </c>
      <c r="B10" s="49" t="inlineStr">
        <is>
          <t>§69</t>
        </is>
      </c>
      <c r="C10" s="49" t="inlineStr">
        <is>
          <t>12장</t>
        </is>
      </c>
      <c r="D10" s="49" t="n"/>
      <c r="E10" s="49" t="n"/>
    </row>
    <row r="11">
      <c r="A11" s="49" t="inlineStr">
        <is>
          <t>추정상속재산 1년 2억/2년 5억·산입=미소명−min(20%,2억)</t>
        </is>
      </c>
      <c r="B11" s="49" t="inlineStr">
        <is>
          <t>§15·령§11</t>
        </is>
      </c>
      <c r="C11" s="49" t="inlineStr">
        <is>
          <t>5장</t>
        </is>
      </c>
      <c r="D11" s="49" t="n"/>
      <c r="E11" s="49" t="n"/>
    </row>
    <row r="12">
      <c r="A12" s="49" t="inlineStr">
        <is>
          <t>사전증여 합산 상속인 10년/그 외 5년</t>
        </is>
      </c>
      <c r="B12" s="49" t="inlineStr">
        <is>
          <t>§13</t>
        </is>
      </c>
      <c r="C12" s="49" t="inlineStr">
        <is>
          <t>6장</t>
        </is>
      </c>
      <c r="D12" s="49" t="n"/>
      <c r="E12" s="49" t="n"/>
    </row>
    <row r="13">
      <c r="A13" s="49" t="inlineStr">
        <is>
          <t>장례비 500만 기본·1천만 한도+봉안 500만</t>
        </is>
      </c>
      <c r="B13" s="49" t="inlineStr">
        <is>
          <t>§14·령§9</t>
        </is>
      </c>
      <c r="C13" s="49" t="inlineStr">
        <is>
          <t>7장</t>
        </is>
      </c>
      <c r="D13" s="49" t="n"/>
      <c r="E13" s="49" t="n"/>
    </row>
    <row r="14">
      <c r="A14" s="49" t="inlineStr">
        <is>
          <t>증여공제 배우자 6억·직계 5천만(미성년 2천만)·기타 1천만</t>
        </is>
      </c>
      <c r="B14" s="49" t="inlineStr">
        <is>
          <t>§53</t>
        </is>
      </c>
      <c r="C14" s="49" t="inlineStr">
        <is>
          <t>15장</t>
        </is>
      </c>
      <c r="D14" s="49" t="n"/>
      <c r="E14" s="49" t="n"/>
    </row>
    <row r="15">
      <c r="A15" s="49" t="inlineStr">
        <is>
          <t>기타친족 = 4촌 혈족·3촌 인척 (2025.3.14 개정)</t>
        </is>
      </c>
      <c r="B15" s="49" t="inlineStr">
        <is>
          <t>§53 4호</t>
        </is>
      </c>
      <c r="C15" s="49" t="inlineStr">
        <is>
          <t>15장</t>
        </is>
      </c>
      <c r="D15" s="49" t="n"/>
      <c r="E15" s="49" t="n"/>
    </row>
    <row r="16">
      <c r="A16" s="49" t="inlineStr">
        <is>
          <t>혼인·출산 통합 1억</t>
        </is>
      </c>
      <c r="B16" s="49" t="inlineStr">
        <is>
          <t>§53의2</t>
        </is>
      </c>
      <c r="C16" s="49" t="inlineStr">
        <is>
          <t>15장</t>
        </is>
      </c>
      <c r="D16" s="49" t="n"/>
      <c r="E16" s="49" t="n"/>
    </row>
    <row r="17">
      <c r="A17" s="49" t="inlineStr">
        <is>
          <t>저가양도 기준 min(30%, 3억)</t>
        </is>
      </c>
      <c r="B17" s="49" t="inlineStr">
        <is>
          <t>§35·령§26</t>
        </is>
      </c>
      <c r="C17" s="49" t="inlineStr">
        <is>
          <t>16장</t>
        </is>
      </c>
      <c r="D17" s="49" t="n"/>
      <c r="E17" s="49" t="n"/>
    </row>
    <row r="18">
      <c r="A18" s="49" t="inlineStr">
        <is>
          <t>무상대출 4.6%·1천만 기준</t>
        </is>
      </c>
      <c r="B18" s="49" t="inlineStr">
        <is>
          <t>§41의4·규칙§10의5</t>
        </is>
      </c>
      <c r="C18" s="49" t="inlineStr">
        <is>
          <t>16장</t>
        </is>
      </c>
      <c r="D18" s="49" t="n"/>
      <c r="E18" s="49" t="n"/>
    </row>
    <row r="19">
      <c r="A19" s="49" t="inlineStr">
        <is>
          <t>무상사용 5년 1억 기준·2%·현가</t>
        </is>
      </c>
      <c r="B19" s="49" t="inlineStr">
        <is>
          <t>§37·령§27</t>
        </is>
      </c>
      <c r="C19" s="49" t="inlineStr">
        <is>
          <t>16장</t>
        </is>
      </c>
      <c r="D19" s="49" t="n"/>
      <c r="E19" s="49" t="n"/>
    </row>
    <row r="20">
      <c r="A20" s="49" t="inlineStr">
        <is>
          <t>취득자금 추정 배제 min(20%, 2억)</t>
        </is>
      </c>
      <c r="B20" s="49" t="inlineStr">
        <is>
          <t>§45·령§34</t>
        </is>
      </c>
      <c r="C20" s="49" t="inlineStr">
        <is>
          <t>18장</t>
        </is>
      </c>
      <c r="D20" s="49" t="n"/>
      <c r="E20" s="49" t="n"/>
    </row>
    <row r="21">
      <c r="A21" s="49" t="inlineStr">
        <is>
          <t>창업자금 5억 공제·10%·한도 50/100억</t>
        </is>
      </c>
      <c r="B21" s="49" t="inlineStr">
        <is>
          <t>조특법§30의5</t>
        </is>
      </c>
      <c r="C21" s="49" t="inlineStr">
        <is>
          <t>19장</t>
        </is>
      </c>
      <c r="D21" s="49" t="n"/>
      <c r="E21" s="49" t="n"/>
    </row>
    <row r="22">
      <c r="A22" s="49" t="inlineStr">
        <is>
          <t>가업승계 10억 공제·10/20%·120억 구간</t>
        </is>
      </c>
      <c r="B22" s="49" t="inlineStr">
        <is>
          <t>조특법§30의6</t>
        </is>
      </c>
      <c r="C22" s="49" t="inlineStr">
        <is>
          <t>19장</t>
        </is>
      </c>
      <c r="D22" s="49" t="n"/>
      <c r="E22" s="49" t="n"/>
    </row>
    <row r="23">
      <c r="A23" s="49" t="inlineStr">
        <is>
          <t>장애인 신탁 5억</t>
        </is>
      </c>
      <c r="B23" s="49" t="inlineStr">
        <is>
          <t>§52의2</t>
        </is>
      </c>
      <c r="C23" s="49" t="inlineStr">
        <is>
          <t>20장</t>
        </is>
      </c>
      <c r="D23" s="49" t="n"/>
      <c r="E23" s="49" t="n"/>
    </row>
    <row r="24">
      <c r="A24" s="49" t="inlineStr">
        <is>
          <t>비상장주식 3:2 가중·80% 하한·할증 20%</t>
        </is>
      </c>
      <c r="B24" s="49" t="inlineStr">
        <is>
          <t>§63·령§54</t>
        </is>
      </c>
      <c r="C24" s="49" t="inlineStr">
        <is>
          <t>22장</t>
        </is>
      </c>
      <c r="D24" s="49" t="n"/>
      <c r="E24" s="49" t="n"/>
    </row>
    <row r="25">
      <c r="A25" s="49" t="inlineStr">
        <is>
          <t>평가기간 상속 전후 6월/증여 전6월 후3월</t>
        </is>
      </c>
      <c r="B25" s="49" t="inlineStr">
        <is>
          <t>§60·령§49</t>
        </is>
      </c>
      <c r="C25" s="49" t="inlineStr">
        <is>
          <t>21장</t>
        </is>
      </c>
      <c r="D25" s="49" t="n"/>
      <c r="E25" s="49" t="n"/>
    </row>
    <row r="26">
      <c r="A26" s="49" t="inlineStr">
        <is>
          <t>연부연납 10년(가업 20년)·이자 3.1%(변동)</t>
        </is>
      </c>
      <c r="B26" s="49" t="inlineStr">
        <is>
          <t>§71</t>
        </is>
      </c>
      <c r="C26" s="49" t="inlineStr">
        <is>
          <t>24장</t>
        </is>
      </c>
      <c r="D26" s="49" t="n"/>
      <c r="E26" s="49" t="n"/>
    </row>
    <row r="27">
      <c r="A27" s="49" t="inlineStr">
        <is>
          <t>납부지연가산세 2026.7.1.~ 월 단위 전환</t>
        </is>
      </c>
      <c r="B27" s="49" t="inlineStr">
        <is>
          <t>국기법§47의4</t>
        </is>
      </c>
      <c r="C27" s="49" t="inlineStr">
        <is>
          <t>23장 ★최우선</t>
        </is>
      </c>
      <c r="D27" s="49" t="n"/>
      <c r="E27" s="49" t="n"/>
    </row>
    <row r="28">
      <c r="A28" s="49" t="inlineStr">
        <is>
          <t>제척기간 10/15년·50억 은닉 안 날부터 1년</t>
        </is>
      </c>
      <c r="B28" s="49" t="inlineStr">
        <is>
          <t>국기법§26의2</t>
        </is>
      </c>
      <c r="C28" s="49" t="inlineStr">
        <is>
          <t>25장</t>
        </is>
      </c>
      <c r="D28" s="49" t="n"/>
      <c r="E28" s="49" t="n"/>
    </row>
    <row r="29">
      <c r="A29" s="49" t="inlineStr">
        <is>
          <t>법정결정기한 상속 9월/증여 6월·30억 5년 사후관리</t>
        </is>
      </c>
      <c r="B29" s="49" t="inlineStr">
        <is>
          <t>§76·령§78</t>
        </is>
      </c>
      <c r="C29" s="49" t="inlineStr">
        <is>
          <t>25장</t>
        </is>
      </c>
      <c r="D29" s="49" t="n"/>
      <c r="E29" s="49" t="n"/>
    </row>
    <row r="30">
      <c r="A30" s="49" t="inlineStr">
        <is>
          <t>이월과세 10년 (2023 이후 증여분)</t>
        </is>
      </c>
      <c r="B30" s="49" t="inlineStr">
        <is>
          <t>소득세법§97의2</t>
        </is>
      </c>
      <c r="C30" s="49" t="inlineStr">
        <is>
          <t>27장</t>
        </is>
      </c>
      <c r="D30" s="49" t="n"/>
      <c r="E30" s="49" t="n"/>
    </row>
    <row r="31">
      <c r="A31" s="49" t="inlineStr">
        <is>
          <t>취득세 상속 2.8%(무주택 0.8%)/증여 3.5%(중과 12%)</t>
        </is>
      </c>
      <c r="B31" s="49" t="inlineStr">
        <is>
          <t>지방세법</t>
        </is>
      </c>
      <c r="C31" s="49" t="inlineStr">
        <is>
          <t>27장</t>
        </is>
      </c>
      <c r="D31" s="49" t="n"/>
      <c r="E31" s="49" t="n"/>
    </row>
    <row r="32">
      <c r="A32" s="49" t="inlineStr">
        <is>
          <t>상속권 상실 제도 2026.1.1. 시행</t>
        </is>
      </c>
      <c r="B32" s="49" t="inlineStr">
        <is>
          <t>민법§1004의2</t>
        </is>
      </c>
      <c r="C32" s="49" t="inlineStr">
        <is>
          <t>3장</t>
        </is>
      </c>
      <c r="D32" s="49" t="n"/>
      <c r="E32" s="49" t="n"/>
    </row>
    <row r="33">
      <c r="A33" s="49" t="inlineStr">
        <is>
          <t>유류분 개정 2026.2. (상실사유·가액반환)</t>
        </is>
      </c>
      <c r="B33" s="49" t="inlineStr">
        <is>
          <t>민법 개정</t>
        </is>
      </c>
      <c r="C33" s="49" t="inlineStr">
        <is>
          <t>3장 ★법률번호 확인</t>
        </is>
      </c>
      <c r="D33" s="49" t="n"/>
      <c r="E33" s="49" t="n"/>
    </row>
  </sheetData>
  <autoFilter ref="A1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2026-08-13T22:12:42Z</dcterms:created>
  <dcterms:modified xmlns:dcterms="http://purl.org/dc/terms/" xmlns:xsi="http://www.w3.org/2001/XMLSchema-instance" xsi:type="dcterms:W3CDTF">2026-08-13T22:12:42Z</dcterms:modified>
</cp:coreProperties>
</file>