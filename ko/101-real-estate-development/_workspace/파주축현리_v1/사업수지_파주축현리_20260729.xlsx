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uncp\00_claudecode\01_Harness_100\ko\101-real-estate-development\_workspace\파주축현리_v1\"/>
    </mc:Choice>
  </mc:AlternateContent>
  <xr:revisionPtr revIDLastSave="0" documentId="13_ncr:1_{1A15A47A-3209-4A35-904E-78CF7ACCB72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00_입력" sheetId="1" r:id="rId1"/>
    <sheet name="01_사업수지" sheetId="2" r:id="rId2"/>
    <sheet name="02_현금흐름" sheetId="3" r:id="rId3"/>
    <sheet name="03_민감도" sheetId="4" r:id="rId4"/>
    <sheet name="04_요약" sheetId="5" r:id="rId5"/>
    <sheet name="05_검증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3" l="1"/>
  <c r="D8" i="3"/>
  <c r="E8" i="3" s="1"/>
  <c r="F8" i="3" s="1"/>
  <c r="G8" i="3" s="1"/>
  <c r="H8" i="3" s="1"/>
  <c r="I8" i="3" s="1"/>
  <c r="J8" i="3" s="1"/>
  <c r="K8" i="3" s="1"/>
  <c r="L8" i="3" s="1"/>
  <c r="M8" i="3" s="1"/>
  <c r="N8" i="3" s="1"/>
  <c r="O8" i="3" s="1"/>
  <c r="P8" i="3" s="1"/>
  <c r="Q8" i="3" s="1"/>
  <c r="R8" i="3" s="1"/>
  <c r="S8" i="3" s="1"/>
  <c r="T8" i="3" s="1"/>
  <c r="U8" i="3" s="1"/>
  <c r="V8" i="3" s="1"/>
  <c r="W8" i="3" s="1"/>
  <c r="X8" i="3" s="1"/>
  <c r="Y8" i="3" s="1"/>
  <c r="Z8" i="3" s="1"/>
  <c r="AA8" i="3" s="1"/>
  <c r="AB8" i="3" s="1"/>
  <c r="AC8" i="3" s="1"/>
  <c r="AD8" i="3" s="1"/>
  <c r="AE8" i="3" s="1"/>
  <c r="AF8" i="3" s="1"/>
  <c r="AG8" i="3" s="1"/>
  <c r="AH8" i="3" s="1"/>
  <c r="AI8" i="3" s="1"/>
  <c r="AJ8" i="3" s="1"/>
  <c r="AK8" i="3" s="1"/>
  <c r="AL8" i="3" s="1"/>
  <c r="AM8" i="3" s="1"/>
  <c r="AN8" i="3" s="1"/>
  <c r="AO8" i="3" s="1"/>
  <c r="AP8" i="3" s="1"/>
  <c r="AQ8" i="3" s="1"/>
  <c r="AR8" i="3" s="1"/>
  <c r="AS8" i="3" s="1"/>
  <c r="AT8" i="3" s="1"/>
  <c r="AU8" i="3" s="1"/>
  <c r="AV8" i="3" s="1"/>
  <c r="AW8" i="3" s="1"/>
  <c r="AX8" i="3" s="1"/>
  <c r="AY8" i="3" s="1"/>
  <c r="AZ8" i="3" s="1"/>
  <c r="BA8" i="3" s="1"/>
  <c r="BB8" i="3" s="1"/>
  <c r="BC8" i="3" s="1"/>
  <c r="BD8" i="3" s="1"/>
  <c r="BE8" i="3" s="1"/>
  <c r="BF8" i="3" s="1"/>
  <c r="BG8" i="3" s="1"/>
  <c r="BH8" i="3" s="1"/>
  <c r="BI8" i="3" s="1"/>
  <c r="BJ8" i="3" s="1"/>
  <c r="BK8" i="3" s="1"/>
  <c r="BL8" i="3" s="1"/>
  <c r="BM8" i="3" s="1"/>
  <c r="BN8" i="3" s="1"/>
  <c r="BO8" i="3" s="1"/>
  <c r="BP8" i="3" s="1"/>
  <c r="BQ8" i="3" s="1"/>
  <c r="BR8" i="3" s="1"/>
  <c r="BS8" i="3" s="1"/>
  <c r="BT8" i="3" s="1"/>
  <c r="BU8" i="3" s="1"/>
  <c r="BV8" i="3" s="1"/>
  <c r="BW8" i="3" s="1"/>
  <c r="BX8" i="3" s="1"/>
  <c r="BY8" i="3" s="1"/>
  <c r="BZ8" i="3" s="1"/>
  <c r="CA8" i="3" s="1"/>
  <c r="CB8" i="3" s="1"/>
  <c r="CC8" i="3" s="1"/>
  <c r="CD8" i="3" s="1"/>
  <c r="CE8" i="3" s="1"/>
  <c r="CF8" i="3" s="1"/>
  <c r="CG8" i="3" s="1"/>
  <c r="CH8" i="3" s="1"/>
  <c r="CI8" i="3" s="1"/>
  <c r="CJ8" i="3" s="1"/>
  <c r="CK8" i="3" s="1"/>
  <c r="CL8" i="3" s="1"/>
  <c r="CM8" i="3" s="1"/>
  <c r="CN8" i="3" s="1"/>
  <c r="CO8" i="3" s="1"/>
  <c r="CP8" i="3" s="1"/>
  <c r="CQ8" i="3" s="1"/>
  <c r="CR8" i="3" s="1"/>
  <c r="CS8" i="3" s="1"/>
  <c r="CT8" i="3" s="1"/>
  <c r="CU8" i="3" s="1"/>
  <c r="CV8" i="3" s="1"/>
  <c r="CW8" i="3" s="1"/>
  <c r="CX8" i="3" s="1"/>
  <c r="CY8" i="3" s="1"/>
  <c r="CZ8" i="3" s="1"/>
  <c r="DA8" i="3" s="1"/>
  <c r="DB8" i="3" s="1"/>
  <c r="DC8" i="3" s="1"/>
  <c r="DD8" i="3" s="1"/>
  <c r="DE8" i="3" s="1"/>
  <c r="DF8" i="3" s="1"/>
  <c r="DG8" i="3" s="1"/>
  <c r="DH8" i="3" s="1"/>
  <c r="DI8" i="3" s="1"/>
  <c r="DJ8" i="3" s="1"/>
  <c r="DK8" i="3" s="1"/>
  <c r="DL8" i="3" s="1"/>
  <c r="DM8" i="3" s="1"/>
  <c r="DN8" i="3" s="1"/>
  <c r="DO8" i="3" s="1"/>
  <c r="DP8" i="3" s="1"/>
  <c r="DQ8" i="3" s="1"/>
  <c r="DR8" i="3" s="1"/>
  <c r="DS8" i="3" s="1"/>
  <c r="DT8" i="3" s="1"/>
  <c r="DU8" i="3" s="1"/>
  <c r="DV8" i="3" s="1"/>
  <c r="DW8" i="3" s="1"/>
  <c r="DX8" i="3" s="1"/>
  <c r="DY8" i="3" s="1"/>
  <c r="DZ7" i="3"/>
  <c r="D6" i="3"/>
  <c r="E6" i="3" s="1"/>
  <c r="F6" i="3" s="1"/>
  <c r="G6" i="3" s="1"/>
  <c r="H6" i="3" s="1"/>
  <c r="I6" i="3" s="1"/>
  <c r="J6" i="3" s="1"/>
  <c r="K6" i="3" s="1"/>
  <c r="L6" i="3" s="1"/>
  <c r="M6" i="3" s="1"/>
  <c r="N6" i="3" s="1"/>
  <c r="O6" i="3" s="1"/>
  <c r="P6" i="3" s="1"/>
  <c r="Q6" i="3" s="1"/>
  <c r="R6" i="3" s="1"/>
  <c r="S6" i="3" s="1"/>
  <c r="T6" i="3" s="1"/>
  <c r="U6" i="3" s="1"/>
  <c r="V6" i="3" s="1"/>
  <c r="W6" i="3" s="1"/>
  <c r="X6" i="3" s="1"/>
  <c r="Y6" i="3" s="1"/>
  <c r="Z6" i="3" s="1"/>
  <c r="AA6" i="3" s="1"/>
  <c r="AB6" i="3" s="1"/>
  <c r="AC6" i="3" s="1"/>
  <c r="AD6" i="3" s="1"/>
  <c r="AE6" i="3" s="1"/>
  <c r="AF6" i="3" s="1"/>
  <c r="AG6" i="3" s="1"/>
  <c r="AH6" i="3" s="1"/>
  <c r="AI6" i="3" s="1"/>
  <c r="AJ6" i="3" s="1"/>
  <c r="AK6" i="3" s="1"/>
  <c r="AL6" i="3" s="1"/>
  <c r="AM6" i="3" s="1"/>
  <c r="AN6" i="3" s="1"/>
  <c r="AO6" i="3" s="1"/>
  <c r="AP6" i="3" s="1"/>
  <c r="AQ6" i="3" s="1"/>
  <c r="AR6" i="3" s="1"/>
  <c r="AS6" i="3" s="1"/>
  <c r="AT6" i="3" s="1"/>
  <c r="AU6" i="3" s="1"/>
  <c r="AV6" i="3" s="1"/>
  <c r="AW6" i="3" s="1"/>
  <c r="AX6" i="3" s="1"/>
  <c r="AY6" i="3" s="1"/>
  <c r="AZ6" i="3" s="1"/>
  <c r="BA6" i="3" s="1"/>
  <c r="BB6" i="3" s="1"/>
  <c r="BC6" i="3" s="1"/>
  <c r="BD6" i="3" s="1"/>
  <c r="BE6" i="3" s="1"/>
  <c r="BF6" i="3" s="1"/>
  <c r="BG6" i="3" s="1"/>
  <c r="BH6" i="3" s="1"/>
  <c r="BI6" i="3" s="1"/>
  <c r="BJ6" i="3" s="1"/>
  <c r="BK6" i="3" s="1"/>
  <c r="BL6" i="3" s="1"/>
  <c r="BM6" i="3" s="1"/>
  <c r="BN6" i="3" s="1"/>
  <c r="BO6" i="3" s="1"/>
  <c r="BP6" i="3" s="1"/>
  <c r="BQ6" i="3" s="1"/>
  <c r="BR6" i="3" s="1"/>
  <c r="BS6" i="3" s="1"/>
  <c r="BT6" i="3" s="1"/>
  <c r="BU6" i="3" s="1"/>
  <c r="BV6" i="3" s="1"/>
  <c r="BW6" i="3" s="1"/>
  <c r="BX6" i="3" s="1"/>
  <c r="BY6" i="3" s="1"/>
  <c r="BZ6" i="3" s="1"/>
  <c r="CA6" i="3" s="1"/>
  <c r="CB6" i="3" s="1"/>
  <c r="CC6" i="3" s="1"/>
  <c r="CD6" i="3" s="1"/>
  <c r="CE6" i="3" s="1"/>
  <c r="CF6" i="3" s="1"/>
  <c r="CG6" i="3" s="1"/>
  <c r="CH6" i="3" s="1"/>
  <c r="CI6" i="3" s="1"/>
  <c r="CJ6" i="3" s="1"/>
  <c r="CK6" i="3" s="1"/>
  <c r="CL6" i="3" s="1"/>
  <c r="CM6" i="3" s="1"/>
  <c r="CN6" i="3" s="1"/>
  <c r="CO6" i="3" s="1"/>
  <c r="CP6" i="3" s="1"/>
  <c r="CQ6" i="3" s="1"/>
  <c r="CR6" i="3" s="1"/>
  <c r="CS6" i="3" s="1"/>
  <c r="CT6" i="3" s="1"/>
  <c r="CU6" i="3" s="1"/>
  <c r="CV6" i="3" s="1"/>
  <c r="CW6" i="3" s="1"/>
  <c r="CX6" i="3" s="1"/>
  <c r="CY6" i="3" s="1"/>
  <c r="CZ6" i="3" s="1"/>
  <c r="DA6" i="3" s="1"/>
  <c r="DB6" i="3" s="1"/>
  <c r="DC6" i="3" s="1"/>
  <c r="DD6" i="3" s="1"/>
  <c r="DE6" i="3" s="1"/>
  <c r="DF6" i="3" s="1"/>
  <c r="DG6" i="3" s="1"/>
  <c r="DH6" i="3" s="1"/>
  <c r="DI6" i="3" s="1"/>
  <c r="DJ6" i="3" s="1"/>
  <c r="DK6" i="3" s="1"/>
  <c r="DL6" i="3" s="1"/>
  <c r="DM6" i="3" s="1"/>
  <c r="DN6" i="3" s="1"/>
  <c r="DO6" i="3" s="1"/>
  <c r="DP6" i="3" s="1"/>
  <c r="DQ6" i="3" s="1"/>
  <c r="DR6" i="3" s="1"/>
  <c r="DS6" i="3" s="1"/>
  <c r="DT6" i="3" s="1"/>
  <c r="DU6" i="3" s="1"/>
  <c r="DV6" i="3" s="1"/>
  <c r="DW6" i="3" s="1"/>
  <c r="DX6" i="3" s="1"/>
  <c r="DY6" i="3" s="1"/>
  <c r="DZ5" i="3"/>
  <c r="I70" i="2"/>
  <c r="L69" i="2"/>
  <c r="K69" i="2"/>
  <c r="J69" i="2"/>
  <c r="L67" i="2"/>
  <c r="K67" i="2"/>
  <c r="J67" i="2"/>
  <c r="L66" i="2"/>
  <c r="K66" i="2"/>
  <c r="J66" i="2"/>
  <c r="L65" i="2"/>
  <c r="K65" i="2"/>
  <c r="J65" i="2"/>
  <c r="L64" i="2"/>
  <c r="K64" i="2"/>
  <c r="J64" i="2"/>
  <c r="I63" i="2"/>
  <c r="L62" i="2"/>
  <c r="K62" i="2"/>
  <c r="J62" i="2"/>
  <c r="L61" i="2"/>
  <c r="K61" i="2"/>
  <c r="J61" i="2"/>
  <c r="L60" i="2"/>
  <c r="K60" i="2"/>
  <c r="J60" i="2"/>
  <c r="L59" i="2"/>
  <c r="K59" i="2"/>
  <c r="J59" i="2"/>
  <c r="L58" i="2"/>
  <c r="K58" i="2"/>
  <c r="J58" i="2"/>
  <c r="L57" i="2"/>
  <c r="K57" i="2"/>
  <c r="J57" i="2"/>
  <c r="L56" i="2"/>
  <c r="K56" i="2"/>
  <c r="J56" i="2"/>
  <c r="L55" i="2"/>
  <c r="K55" i="2"/>
  <c r="J55" i="2"/>
  <c r="L54" i="2"/>
  <c r="K54" i="2"/>
  <c r="J54" i="2"/>
  <c r="L53" i="2"/>
  <c r="K53" i="2"/>
  <c r="J53" i="2"/>
  <c r="L52" i="2"/>
  <c r="K52" i="2"/>
  <c r="J52" i="2"/>
  <c r="H51" i="2"/>
  <c r="L50" i="2"/>
  <c r="K50" i="2"/>
  <c r="J50" i="2"/>
  <c r="L49" i="2"/>
  <c r="K49" i="2"/>
  <c r="J49" i="2"/>
  <c r="L48" i="2"/>
  <c r="K48" i="2"/>
  <c r="J48" i="2"/>
  <c r="L47" i="2"/>
  <c r="K47" i="2"/>
  <c r="J47" i="2"/>
  <c r="L46" i="2"/>
  <c r="K46" i="2"/>
  <c r="J46" i="2"/>
  <c r="L45" i="2"/>
  <c r="K45" i="2"/>
  <c r="J45" i="2"/>
  <c r="L44" i="2"/>
  <c r="K44" i="2"/>
  <c r="J44" i="2"/>
  <c r="H44" i="2"/>
  <c r="L43" i="2"/>
  <c r="K43" i="2"/>
  <c r="J43" i="2"/>
  <c r="H42" i="2"/>
  <c r="L42" i="2" s="1"/>
  <c r="I41" i="2"/>
  <c r="L40" i="2"/>
  <c r="K40" i="2"/>
  <c r="J40" i="2"/>
  <c r="L39" i="2"/>
  <c r="K39" i="2"/>
  <c r="J39" i="2"/>
  <c r="L38" i="2"/>
  <c r="K38" i="2"/>
  <c r="J38" i="2"/>
  <c r="L37" i="2"/>
  <c r="K37" i="2"/>
  <c r="J37" i="2"/>
  <c r="L36" i="2"/>
  <c r="K36" i="2"/>
  <c r="J36" i="2"/>
  <c r="L35" i="2"/>
  <c r="K35" i="2"/>
  <c r="J35" i="2"/>
  <c r="L34" i="2"/>
  <c r="K34" i="2"/>
  <c r="J34" i="2"/>
  <c r="L33" i="2"/>
  <c r="K33" i="2"/>
  <c r="J33" i="2"/>
  <c r="L32" i="2"/>
  <c r="K32" i="2"/>
  <c r="J32" i="2"/>
  <c r="L31" i="2"/>
  <c r="K31" i="2"/>
  <c r="J31" i="2"/>
  <c r="L30" i="2"/>
  <c r="K30" i="2"/>
  <c r="J30" i="2"/>
  <c r="H29" i="2"/>
  <c r="J29" i="2" s="1"/>
  <c r="L28" i="2"/>
  <c r="K28" i="2"/>
  <c r="J28" i="2"/>
  <c r="H27" i="2"/>
  <c r="L27" i="2" s="1"/>
  <c r="J26" i="2"/>
  <c r="I26" i="2"/>
  <c r="I71" i="2" s="1"/>
  <c r="H26" i="2"/>
  <c r="L25" i="2"/>
  <c r="K25" i="2"/>
  <c r="J25" i="2"/>
  <c r="L24" i="2"/>
  <c r="K24" i="2"/>
  <c r="J24" i="2"/>
  <c r="L23" i="2"/>
  <c r="K23" i="2"/>
  <c r="J23" i="2"/>
  <c r="L22" i="2"/>
  <c r="K22" i="2"/>
  <c r="J22" i="2"/>
  <c r="L21" i="2"/>
  <c r="K21" i="2"/>
  <c r="K26" i="2" s="1"/>
  <c r="J21" i="2"/>
  <c r="L20" i="2"/>
  <c r="K20" i="2"/>
  <c r="J20" i="2"/>
  <c r="L19" i="2"/>
  <c r="K19" i="2"/>
  <c r="J19" i="2"/>
  <c r="L18" i="2"/>
  <c r="K18" i="2"/>
  <c r="J18" i="2"/>
  <c r="L17" i="2"/>
  <c r="K17" i="2"/>
  <c r="H17" i="2"/>
  <c r="J17" i="2" s="1"/>
  <c r="C11" i="2"/>
  <c r="E10" i="2"/>
  <c r="E9" i="2"/>
  <c r="E8" i="2"/>
  <c r="E7" i="2"/>
  <c r="E6" i="2"/>
  <c r="C24" i="1"/>
  <c r="B6" i="5" s="1"/>
  <c r="C12" i="1"/>
  <c r="C10" i="1"/>
  <c r="C8" i="1"/>
  <c r="L51" i="2" l="1"/>
  <c r="L63" i="2" s="1"/>
  <c r="K51" i="2"/>
  <c r="J51" i="2"/>
  <c r="L26" i="2"/>
  <c r="L29" i="2"/>
  <c r="L41" i="2" s="1"/>
  <c r="H41" i="2"/>
  <c r="K29" i="2"/>
  <c r="D29" i="3"/>
  <c r="H63" i="2"/>
  <c r="J42" i="2"/>
  <c r="K42" i="2"/>
  <c r="E11" i="2"/>
  <c r="C22" i="3"/>
  <c r="D22" i="3" s="1"/>
  <c r="J27" i="2"/>
  <c r="J41" i="2" s="1"/>
  <c r="K27" i="2"/>
  <c r="C23" i="3" l="1"/>
  <c r="K41" i="2"/>
  <c r="K63" i="2"/>
  <c r="DZ22" i="3"/>
  <c r="EA22" i="3" s="1"/>
  <c r="C12" i="3"/>
  <c r="E13" i="2"/>
  <c r="C16" i="3"/>
  <c r="C18" i="3"/>
  <c r="DY18" i="3" s="1"/>
  <c r="DZ18" i="3" s="1"/>
  <c r="EA18" i="3" s="1"/>
  <c r="C14" i="3"/>
  <c r="C17" i="3"/>
  <c r="C11" i="3"/>
  <c r="C15" i="3"/>
  <c r="C13" i="3"/>
  <c r="J63" i="2"/>
  <c r="C24" i="3"/>
  <c r="DO13" i="3" l="1"/>
  <c r="CW13" i="3"/>
  <c r="CE13" i="3"/>
  <c r="BM13" i="3"/>
  <c r="AU13" i="3"/>
  <c r="DN13" i="3"/>
  <c r="CV13" i="3"/>
  <c r="CD13" i="3"/>
  <c r="BL13" i="3"/>
  <c r="AT13" i="3"/>
  <c r="DM13" i="3"/>
  <c r="CU13" i="3"/>
  <c r="CC13" i="3"/>
  <c r="BK13" i="3"/>
  <c r="AS13" i="3"/>
  <c r="DL13" i="3"/>
  <c r="CT13" i="3"/>
  <c r="CB13" i="3"/>
  <c r="BJ13" i="3"/>
  <c r="AR13" i="3"/>
  <c r="DJ13" i="3"/>
  <c r="CR13" i="3"/>
  <c r="BZ13" i="3"/>
  <c r="BH13" i="3"/>
  <c r="AP13" i="3"/>
  <c r="DV13" i="3"/>
  <c r="CY13" i="3"/>
  <c r="BW13" i="3"/>
  <c r="AZ13" i="3"/>
  <c r="CQ13" i="3"/>
  <c r="DR13" i="3"/>
  <c r="BS13" i="3"/>
  <c r="DU13" i="3"/>
  <c r="CX13" i="3"/>
  <c r="BV13" i="3"/>
  <c r="AY13" i="3"/>
  <c r="DS13" i="3"/>
  <c r="AW13" i="3"/>
  <c r="AV13" i="3"/>
  <c r="DT13" i="3"/>
  <c r="CS13" i="3"/>
  <c r="BU13" i="3"/>
  <c r="AX13" i="3"/>
  <c r="BT13" i="3"/>
  <c r="CP13" i="3"/>
  <c r="DQ13" i="3"/>
  <c r="CO13" i="3"/>
  <c r="BR13" i="3"/>
  <c r="AQ13" i="3"/>
  <c r="DI13" i="3"/>
  <c r="CL13" i="3"/>
  <c r="BO13" i="3"/>
  <c r="AM13" i="3"/>
  <c r="BI13" i="3"/>
  <c r="DH13" i="3"/>
  <c r="CK13" i="3"/>
  <c r="BN13" i="3"/>
  <c r="AL13" i="3"/>
  <c r="DG13" i="3"/>
  <c r="AK13" i="3"/>
  <c r="CJ13" i="3"/>
  <c r="DP13" i="3"/>
  <c r="BQ13" i="3"/>
  <c r="DK13" i="3"/>
  <c r="BP13" i="3"/>
  <c r="BB13" i="3"/>
  <c r="CH13" i="3"/>
  <c r="DF13" i="3"/>
  <c r="BG13" i="3"/>
  <c r="DE13" i="3"/>
  <c r="BF13" i="3"/>
  <c r="DA13" i="3"/>
  <c r="BA13" i="3"/>
  <c r="CM13" i="3"/>
  <c r="DD13" i="3"/>
  <c r="BE13" i="3"/>
  <c r="DB13" i="3"/>
  <c r="BC13" i="3"/>
  <c r="AN13" i="3"/>
  <c r="DC13" i="3"/>
  <c r="BD13" i="3"/>
  <c r="CZ13" i="3"/>
  <c r="AI13" i="3"/>
  <c r="CN13" i="3"/>
  <c r="AO13" i="3"/>
  <c r="CI13" i="3"/>
  <c r="AJ13" i="3"/>
  <c r="CG13" i="3"/>
  <c r="AH13" i="3"/>
  <c r="CF13" i="3"/>
  <c r="DY13" i="3"/>
  <c r="CA13" i="3"/>
  <c r="DW13" i="3"/>
  <c r="BX13" i="3"/>
  <c r="BY13" i="3"/>
  <c r="DX13" i="3"/>
  <c r="DY15" i="3"/>
  <c r="DG15" i="3"/>
  <c r="CO15" i="3"/>
  <c r="BW15" i="3"/>
  <c r="DL15" i="3"/>
  <c r="CS15" i="3"/>
  <c r="BZ15" i="3"/>
  <c r="DK15" i="3"/>
  <c r="CR15" i="3"/>
  <c r="BY15" i="3"/>
  <c r="DJ15" i="3"/>
  <c r="CQ15" i="3"/>
  <c r="BX15" i="3"/>
  <c r="DH15" i="3"/>
  <c r="DI15" i="3"/>
  <c r="CP15" i="3"/>
  <c r="BV15" i="3"/>
  <c r="BU15" i="3"/>
  <c r="DF15" i="3"/>
  <c r="CM15" i="3"/>
  <c r="BT15" i="3"/>
  <c r="DB15" i="3"/>
  <c r="CD15" i="3"/>
  <c r="DX15" i="3"/>
  <c r="CX15" i="3"/>
  <c r="DA15" i="3"/>
  <c r="CC15" i="3"/>
  <c r="CA15" i="3"/>
  <c r="CZ15" i="3"/>
  <c r="CB15" i="3"/>
  <c r="CY15" i="3"/>
  <c r="DW15" i="3"/>
  <c r="BS15" i="3"/>
  <c r="DV15" i="3"/>
  <c r="CW15" i="3"/>
  <c r="BR15" i="3"/>
  <c r="DS15" i="3"/>
  <c r="CT15" i="3"/>
  <c r="BO15" i="3"/>
  <c r="DR15" i="3"/>
  <c r="CN15" i="3"/>
  <c r="BN15" i="3"/>
  <c r="DQ15" i="3"/>
  <c r="CL15" i="3"/>
  <c r="BM15" i="3"/>
  <c r="DU15" i="3"/>
  <c r="BQ15" i="3"/>
  <c r="DT15" i="3"/>
  <c r="BP15" i="3"/>
  <c r="DD15" i="3"/>
  <c r="CJ15" i="3"/>
  <c r="CF15" i="3"/>
  <c r="DP15" i="3"/>
  <c r="BL15" i="3"/>
  <c r="DO15" i="3"/>
  <c r="DC15" i="3"/>
  <c r="CV15" i="3"/>
  <c r="DN15" i="3"/>
  <c r="DE15" i="3"/>
  <c r="CU15" i="3"/>
  <c r="DM15" i="3"/>
  <c r="CK15" i="3"/>
  <c r="CI15" i="3"/>
  <c r="CH15" i="3"/>
  <c r="CG15" i="3"/>
  <c r="CE15" i="3"/>
  <c r="DL11" i="3"/>
  <c r="CT11" i="3"/>
  <c r="CB11" i="3"/>
  <c r="BJ11" i="3"/>
  <c r="AR11" i="3"/>
  <c r="Z11" i="3"/>
  <c r="H11" i="3"/>
  <c r="H19" i="3" s="1"/>
  <c r="BY11" i="3"/>
  <c r="C19" i="3"/>
  <c r="DK11" i="3"/>
  <c r="CS11" i="3"/>
  <c r="CA11" i="3"/>
  <c r="BI11" i="3"/>
  <c r="BI19" i="3" s="1"/>
  <c r="AQ11" i="3"/>
  <c r="AQ19" i="3" s="1"/>
  <c r="Y11" i="3"/>
  <c r="Y19" i="3" s="1"/>
  <c r="G11" i="3"/>
  <c r="G19" i="3" s="1"/>
  <c r="DJ11" i="3"/>
  <c r="CR11" i="3"/>
  <c r="BZ11" i="3"/>
  <c r="BH11" i="3"/>
  <c r="AP11" i="3"/>
  <c r="X11" i="3"/>
  <c r="F11" i="3"/>
  <c r="F19" i="3" s="1"/>
  <c r="DI11" i="3"/>
  <c r="CQ11" i="3"/>
  <c r="BG11" i="3"/>
  <c r="AO11" i="3"/>
  <c r="W11" i="3"/>
  <c r="E11" i="3"/>
  <c r="E19" i="3" s="1"/>
  <c r="DS11" i="3"/>
  <c r="CW11" i="3"/>
  <c r="CW19" i="3" s="1"/>
  <c r="BW11" i="3"/>
  <c r="BA11" i="3"/>
  <c r="AE11" i="3"/>
  <c r="AE19" i="3" s="1"/>
  <c r="I11" i="3"/>
  <c r="I19" i="3" s="1"/>
  <c r="BT11" i="3"/>
  <c r="CO11" i="3"/>
  <c r="AW11" i="3"/>
  <c r="DR11" i="3"/>
  <c r="CV11" i="3"/>
  <c r="BV11" i="3"/>
  <c r="AZ11" i="3"/>
  <c r="AD11" i="3"/>
  <c r="D11" i="3"/>
  <c r="CP11" i="3"/>
  <c r="AX11" i="3"/>
  <c r="DO11" i="3"/>
  <c r="BS11" i="3"/>
  <c r="DQ11" i="3"/>
  <c r="CU11" i="3"/>
  <c r="CU19" i="3" s="1"/>
  <c r="BU11" i="3"/>
  <c r="BU19" i="3" s="1"/>
  <c r="AY11" i="3"/>
  <c r="AY19" i="3" s="1"/>
  <c r="AC11" i="3"/>
  <c r="AC19" i="3" s="1"/>
  <c r="DP11" i="3"/>
  <c r="AB11" i="3"/>
  <c r="AA11" i="3"/>
  <c r="AA19" i="3" s="1"/>
  <c r="DN11" i="3"/>
  <c r="DG11" i="3"/>
  <c r="CK11" i="3"/>
  <c r="BO11" i="3"/>
  <c r="AS11" i="3"/>
  <c r="S11" i="3"/>
  <c r="BM11" i="3"/>
  <c r="Q11" i="3"/>
  <c r="Q19" i="3" s="1"/>
  <c r="DF11" i="3"/>
  <c r="CJ11" i="3"/>
  <c r="BN11" i="3"/>
  <c r="BN19" i="3" s="1"/>
  <c r="AN11" i="3"/>
  <c r="AN19" i="3" s="1"/>
  <c r="R11" i="3"/>
  <c r="R19" i="3" s="1"/>
  <c r="DE11" i="3"/>
  <c r="AM11" i="3"/>
  <c r="CI11" i="3"/>
  <c r="CN11" i="3"/>
  <c r="BC11" i="3"/>
  <c r="M11" i="3"/>
  <c r="M19" i="3" s="1"/>
  <c r="CM11" i="3"/>
  <c r="BB11" i="3"/>
  <c r="L11" i="3"/>
  <c r="L19" i="3" s="1"/>
  <c r="CD11" i="3"/>
  <c r="AJ11" i="3"/>
  <c r="AG11" i="3"/>
  <c r="BP11" i="3"/>
  <c r="BP19" i="3" s="1"/>
  <c r="CL11" i="3"/>
  <c r="AV11" i="3"/>
  <c r="K11" i="3"/>
  <c r="K19" i="3" s="1"/>
  <c r="DY11" i="3"/>
  <c r="DY19" i="3" s="1"/>
  <c r="CH11" i="3"/>
  <c r="AU11" i="3"/>
  <c r="AU19" i="3" s="1"/>
  <c r="J11" i="3"/>
  <c r="J19" i="3" s="1"/>
  <c r="DT11" i="3"/>
  <c r="BR11" i="3"/>
  <c r="DX11" i="3"/>
  <c r="CG11" i="3"/>
  <c r="AT11" i="3"/>
  <c r="DW11" i="3"/>
  <c r="AL11" i="3"/>
  <c r="DV11" i="3"/>
  <c r="CE11" i="3"/>
  <c r="AK11" i="3"/>
  <c r="DU11" i="3"/>
  <c r="DH11" i="3"/>
  <c r="DC11" i="3"/>
  <c r="CF11" i="3"/>
  <c r="CF19" i="3" s="1"/>
  <c r="AI11" i="3"/>
  <c r="AI19" i="3" s="1"/>
  <c r="BX11" i="3"/>
  <c r="BX19" i="3" s="1"/>
  <c r="V11" i="3"/>
  <c r="V19" i="3" s="1"/>
  <c r="CC11" i="3"/>
  <c r="DM11" i="3"/>
  <c r="AH11" i="3"/>
  <c r="DD11" i="3"/>
  <c r="BQ11" i="3"/>
  <c r="BQ19" i="3" s="1"/>
  <c r="AF11" i="3"/>
  <c r="DB11" i="3"/>
  <c r="BL11" i="3"/>
  <c r="U11" i="3"/>
  <c r="U19" i="3" s="1"/>
  <c r="DA11" i="3"/>
  <c r="BK11" i="3"/>
  <c r="T11" i="3"/>
  <c r="CZ11" i="3"/>
  <c r="BF11" i="3"/>
  <c r="P11" i="3"/>
  <c r="P19" i="3" s="1"/>
  <c r="CX11" i="3"/>
  <c r="BD11" i="3"/>
  <c r="BD19" i="3" s="1"/>
  <c r="N11" i="3"/>
  <c r="N19" i="3" s="1"/>
  <c r="BE11" i="3"/>
  <c r="CY11" i="3"/>
  <c r="O11" i="3"/>
  <c r="O19" i="3" s="1"/>
  <c r="DV17" i="3"/>
  <c r="DD17" i="3"/>
  <c r="DN17" i="3"/>
  <c r="CU17" i="3"/>
  <c r="DM17" i="3"/>
  <c r="CT17" i="3"/>
  <c r="DL17" i="3"/>
  <c r="CS17" i="3"/>
  <c r="CQ17" i="3"/>
  <c r="DK17" i="3"/>
  <c r="CR17" i="3"/>
  <c r="DJ17" i="3"/>
  <c r="DI17" i="3"/>
  <c r="CP17" i="3"/>
  <c r="DX17" i="3"/>
  <c r="CX17" i="3"/>
  <c r="DS17" i="3"/>
  <c r="DW17" i="3"/>
  <c r="CW17" i="3"/>
  <c r="DU17" i="3"/>
  <c r="CV17" i="3"/>
  <c r="DT17" i="3"/>
  <c r="DR17" i="3"/>
  <c r="DO17" i="3"/>
  <c r="DG17" i="3"/>
  <c r="DH17" i="3"/>
  <c r="DP17" i="3"/>
  <c r="DY17" i="3"/>
  <c r="DE17" i="3"/>
  <c r="DQ17" i="3"/>
  <c r="DF17" i="3"/>
  <c r="DC17" i="3"/>
  <c r="DB17" i="3"/>
  <c r="DA17" i="3"/>
  <c r="CY17" i="3"/>
  <c r="CZ17" i="3"/>
  <c r="DV14" i="3"/>
  <c r="DD14" i="3"/>
  <c r="CL14" i="3"/>
  <c r="DX14" i="3"/>
  <c r="DE14" i="3"/>
  <c r="CK14" i="3"/>
  <c r="BS14" i="3"/>
  <c r="BA14" i="3"/>
  <c r="DW14" i="3"/>
  <c r="DC14" i="3"/>
  <c r="CJ14" i="3"/>
  <c r="BR14" i="3"/>
  <c r="AZ14" i="3"/>
  <c r="CZ14" i="3"/>
  <c r="DU14" i="3"/>
  <c r="DB14" i="3"/>
  <c r="CI14" i="3"/>
  <c r="BQ14" i="3"/>
  <c r="AY14" i="3"/>
  <c r="DS14" i="3"/>
  <c r="DT14" i="3"/>
  <c r="DA14" i="3"/>
  <c r="CH14" i="3"/>
  <c r="BP14" i="3"/>
  <c r="AX14" i="3"/>
  <c r="DR14" i="3"/>
  <c r="CY14" i="3"/>
  <c r="CF14" i="3"/>
  <c r="BN14" i="3"/>
  <c r="DO14" i="3"/>
  <c r="CP14" i="3"/>
  <c r="BM14" i="3"/>
  <c r="DL14" i="3"/>
  <c r="BJ14" i="3"/>
  <c r="DK14" i="3"/>
  <c r="DN14" i="3"/>
  <c r="CO14" i="3"/>
  <c r="BL14" i="3"/>
  <c r="CG14" i="3"/>
  <c r="DM14" i="3"/>
  <c r="CN14" i="3"/>
  <c r="BK14" i="3"/>
  <c r="CM14" i="3"/>
  <c r="BI14" i="3"/>
  <c r="DJ14" i="3"/>
  <c r="CE14" i="3"/>
  <c r="BH14" i="3"/>
  <c r="DG14" i="3"/>
  <c r="CB14" i="3"/>
  <c r="BE14" i="3"/>
  <c r="BZ14" i="3"/>
  <c r="BC14" i="3"/>
  <c r="DF14" i="3"/>
  <c r="CA14" i="3"/>
  <c r="BD14" i="3"/>
  <c r="CX14" i="3"/>
  <c r="CD14" i="3"/>
  <c r="CC14" i="3"/>
  <c r="BT14" i="3"/>
  <c r="BF14" i="3"/>
  <c r="BY14" i="3"/>
  <c r="BX14" i="3"/>
  <c r="BO14" i="3"/>
  <c r="BW14" i="3"/>
  <c r="DY14" i="3"/>
  <c r="BU14" i="3"/>
  <c r="DQ14" i="3"/>
  <c r="DH14" i="3"/>
  <c r="AW14" i="3"/>
  <c r="DZ14" i="3" s="1"/>
  <c r="EA14" i="3" s="1"/>
  <c r="BV14" i="3"/>
  <c r="DP14" i="3"/>
  <c r="DI14" i="3"/>
  <c r="CV14" i="3"/>
  <c r="BG14" i="3"/>
  <c r="CW14" i="3"/>
  <c r="BB14" i="3"/>
  <c r="CU14" i="3"/>
  <c r="CT14" i="3"/>
  <c r="CS14" i="3"/>
  <c r="CQ14" i="3"/>
  <c r="CR14" i="3"/>
  <c r="DY16" i="3"/>
  <c r="DG16" i="3"/>
  <c r="CO16" i="3"/>
  <c r="DO16" i="3"/>
  <c r="CV16" i="3"/>
  <c r="CC16" i="3"/>
  <c r="DK16" i="3"/>
  <c r="DN16" i="3"/>
  <c r="CU16" i="3"/>
  <c r="CB16" i="3"/>
  <c r="DM16" i="3"/>
  <c r="CT16" i="3"/>
  <c r="CA16" i="3"/>
  <c r="DL16" i="3"/>
  <c r="CS16" i="3"/>
  <c r="CR16" i="3"/>
  <c r="DJ16" i="3"/>
  <c r="CQ16" i="3"/>
  <c r="DE16" i="3"/>
  <c r="CF16" i="3"/>
  <c r="DB16" i="3"/>
  <c r="DA16" i="3"/>
  <c r="DD16" i="3"/>
  <c r="CE16" i="3"/>
  <c r="DC16" i="3"/>
  <c r="CD16" i="3"/>
  <c r="CZ16" i="3"/>
  <c r="DV16" i="3"/>
  <c r="CW16" i="3"/>
  <c r="DU16" i="3"/>
  <c r="CP16" i="3"/>
  <c r="DT16" i="3"/>
  <c r="CN16" i="3"/>
  <c r="DX16" i="3"/>
  <c r="DW16" i="3"/>
  <c r="CX16" i="3"/>
  <c r="DS16" i="3"/>
  <c r="DR16" i="3"/>
  <c r="DQ16" i="3"/>
  <c r="DI16" i="3"/>
  <c r="CL16" i="3"/>
  <c r="DP16" i="3"/>
  <c r="DH16" i="3"/>
  <c r="DF16" i="3"/>
  <c r="CY16" i="3"/>
  <c r="CM16" i="3"/>
  <c r="CK16" i="3"/>
  <c r="CJ16" i="3"/>
  <c r="CI16" i="3"/>
  <c r="CG16" i="3"/>
  <c r="CH16" i="3"/>
  <c r="DX12" i="3"/>
  <c r="DF12" i="3"/>
  <c r="CN12" i="3"/>
  <c r="BV12" i="3"/>
  <c r="BD12" i="3"/>
  <c r="AL12" i="3"/>
  <c r="T12" i="3"/>
  <c r="DW12" i="3"/>
  <c r="DE12" i="3"/>
  <c r="CM12" i="3"/>
  <c r="BU12" i="3"/>
  <c r="BC12" i="3"/>
  <c r="AK12" i="3"/>
  <c r="S12" i="3"/>
  <c r="DV12" i="3"/>
  <c r="DD12" i="3"/>
  <c r="CL12" i="3"/>
  <c r="BT12" i="3"/>
  <c r="BB12" i="3"/>
  <c r="AJ12" i="3"/>
  <c r="AI12" i="3"/>
  <c r="DU12" i="3"/>
  <c r="DC12" i="3"/>
  <c r="CK12" i="3"/>
  <c r="BS12" i="3"/>
  <c r="BA12" i="3"/>
  <c r="DS12" i="3"/>
  <c r="DT12" i="3"/>
  <c r="CW12" i="3"/>
  <c r="CA12" i="3"/>
  <c r="BE12" i="3"/>
  <c r="AE12" i="3"/>
  <c r="DP12" i="3"/>
  <c r="BX12" i="3"/>
  <c r="AB12" i="3"/>
  <c r="CS12" i="3"/>
  <c r="AW12" i="3"/>
  <c r="DR12" i="3"/>
  <c r="CV12" i="3"/>
  <c r="BZ12" i="3"/>
  <c r="AZ12" i="3"/>
  <c r="AD12" i="3"/>
  <c r="AX12" i="3"/>
  <c r="BW12" i="3"/>
  <c r="DQ12" i="3"/>
  <c r="CU12" i="3"/>
  <c r="BY12" i="3"/>
  <c r="AY12" i="3"/>
  <c r="AC12" i="3"/>
  <c r="CT12" i="3"/>
  <c r="DO12" i="3"/>
  <c r="AA12" i="3"/>
  <c r="DN12" i="3"/>
  <c r="CR12" i="3"/>
  <c r="BR12" i="3"/>
  <c r="AV12" i="3"/>
  <c r="Z12" i="3"/>
  <c r="DK12" i="3"/>
  <c r="CO12" i="3"/>
  <c r="BO12" i="3"/>
  <c r="AS12" i="3"/>
  <c r="W12" i="3"/>
  <c r="DI12" i="3"/>
  <c r="BM12" i="3"/>
  <c r="U12" i="3"/>
  <c r="DJ12" i="3"/>
  <c r="CJ12" i="3"/>
  <c r="BN12" i="3"/>
  <c r="AR12" i="3"/>
  <c r="V12" i="3"/>
  <c r="CI12" i="3"/>
  <c r="AQ12" i="3"/>
  <c r="DM12" i="3"/>
  <c r="BQ12" i="3"/>
  <c r="Y12" i="3"/>
  <c r="DL12" i="3"/>
  <c r="BP12" i="3"/>
  <c r="X12" i="3"/>
  <c r="CX12" i="3"/>
  <c r="AT12" i="3"/>
  <c r="DH12" i="3"/>
  <c r="BL12" i="3"/>
  <c r="DG12" i="3"/>
  <c r="BK12" i="3"/>
  <c r="CQ12" i="3"/>
  <c r="DB12" i="3"/>
  <c r="BJ12" i="3"/>
  <c r="CZ12" i="3"/>
  <c r="BH12" i="3"/>
  <c r="AU12" i="3"/>
  <c r="DA12" i="3"/>
  <c r="BI12" i="3"/>
  <c r="CY12" i="3"/>
  <c r="CP12" i="3"/>
  <c r="AO12" i="3"/>
  <c r="BG12" i="3"/>
  <c r="BF12" i="3"/>
  <c r="CG12" i="3"/>
  <c r="CH12" i="3"/>
  <c r="AP12" i="3"/>
  <c r="CF12" i="3"/>
  <c r="AN12" i="3"/>
  <c r="CE12" i="3"/>
  <c r="AM12" i="3"/>
  <c r="CD12" i="3"/>
  <c r="AH12" i="3"/>
  <c r="DY12" i="3"/>
  <c r="CB12" i="3"/>
  <c r="AF12" i="3"/>
  <c r="AG12" i="3"/>
  <c r="CC12" i="3"/>
  <c r="DT24" i="3"/>
  <c r="DB24" i="3"/>
  <c r="CJ24" i="3"/>
  <c r="BR24" i="3"/>
  <c r="AZ24" i="3"/>
  <c r="AH24" i="3"/>
  <c r="P24" i="3"/>
  <c r="DM24" i="3"/>
  <c r="CU24" i="3"/>
  <c r="CC24" i="3"/>
  <c r="BK24" i="3"/>
  <c r="AS24" i="3"/>
  <c r="AA24" i="3"/>
  <c r="I24" i="3"/>
  <c r="DK24" i="3"/>
  <c r="CS24" i="3"/>
  <c r="CA24" i="3"/>
  <c r="BI24" i="3"/>
  <c r="AQ24" i="3"/>
  <c r="Y24" i="3"/>
  <c r="G24" i="3"/>
  <c r="DX24" i="3"/>
  <c r="DF24" i="3"/>
  <c r="CN24" i="3"/>
  <c r="BV24" i="3"/>
  <c r="BD24" i="3"/>
  <c r="AL24" i="3"/>
  <c r="T24" i="3"/>
  <c r="DJ24" i="3"/>
  <c r="CM24" i="3"/>
  <c r="BP24" i="3"/>
  <c r="AT24" i="3"/>
  <c r="V24" i="3"/>
  <c r="DI24" i="3"/>
  <c r="CL24" i="3"/>
  <c r="BO24" i="3"/>
  <c r="AR24" i="3"/>
  <c r="U24" i="3"/>
  <c r="DH24" i="3"/>
  <c r="CK24" i="3"/>
  <c r="BN24" i="3"/>
  <c r="AP24" i="3"/>
  <c r="S24" i="3"/>
  <c r="DG24" i="3"/>
  <c r="CI24" i="3"/>
  <c r="BM24" i="3"/>
  <c r="AO24" i="3"/>
  <c r="R24" i="3"/>
  <c r="DE24" i="3"/>
  <c r="CH24" i="3"/>
  <c r="BL24" i="3"/>
  <c r="AN24" i="3"/>
  <c r="Q24" i="3"/>
  <c r="DD24" i="3"/>
  <c r="CG24" i="3"/>
  <c r="BJ24" i="3"/>
  <c r="AM24" i="3"/>
  <c r="O24" i="3"/>
  <c r="DC24" i="3"/>
  <c r="CF24" i="3"/>
  <c r="BH24" i="3"/>
  <c r="AK24" i="3"/>
  <c r="DQ24" i="3"/>
  <c r="CT24" i="3"/>
  <c r="BW24" i="3"/>
  <c r="AY24" i="3"/>
  <c r="CY24" i="3"/>
  <c r="BG24" i="3"/>
  <c r="Z24" i="3"/>
  <c r="CV24" i="3"/>
  <c r="CR24" i="3"/>
  <c r="CX24" i="3"/>
  <c r="BF24" i="3"/>
  <c r="X24" i="3"/>
  <c r="BC24" i="3"/>
  <c r="N24" i="3"/>
  <c r="CW24" i="3"/>
  <c r="BE24" i="3"/>
  <c r="W24" i="3"/>
  <c r="BB24" i="3"/>
  <c r="M24" i="3"/>
  <c r="CQ24" i="3"/>
  <c r="BA24" i="3"/>
  <c r="L24" i="3"/>
  <c r="DV24" i="3"/>
  <c r="CE24" i="3"/>
  <c r="AV24" i="3"/>
  <c r="H24" i="3"/>
  <c r="DU24" i="3"/>
  <c r="CD24" i="3"/>
  <c r="AU24" i="3"/>
  <c r="F24" i="3"/>
  <c r="DS24" i="3"/>
  <c r="CB24" i="3"/>
  <c r="AJ24" i="3"/>
  <c r="E24" i="3"/>
  <c r="CP24" i="3"/>
  <c r="K24" i="3"/>
  <c r="CO24" i="3"/>
  <c r="J24" i="3"/>
  <c r="DA24" i="3"/>
  <c r="BZ24" i="3"/>
  <c r="D24" i="3"/>
  <c r="BY24" i="3"/>
  <c r="BS24" i="3"/>
  <c r="BQ24" i="3"/>
  <c r="AX24" i="3"/>
  <c r="AW24" i="3"/>
  <c r="DP24" i="3"/>
  <c r="BX24" i="3"/>
  <c r="BT24" i="3"/>
  <c r="AG24" i="3"/>
  <c r="BU24" i="3"/>
  <c r="DY24" i="3"/>
  <c r="DW24" i="3"/>
  <c r="AC24" i="3"/>
  <c r="DR24" i="3"/>
  <c r="AI24" i="3"/>
  <c r="DO24" i="3"/>
  <c r="AF24" i="3"/>
  <c r="DN24" i="3"/>
  <c r="AE24" i="3"/>
  <c r="DL24" i="3"/>
  <c r="AD24" i="3"/>
  <c r="CZ24" i="3"/>
  <c r="AB24" i="3"/>
  <c r="E17" i="4"/>
  <c r="D17" i="4"/>
  <c r="C17" i="4"/>
  <c r="B16" i="5"/>
  <c r="B17" i="4"/>
  <c r="B7" i="5"/>
  <c r="E75" i="2"/>
  <c r="F7" i="2"/>
  <c r="F10" i="2"/>
  <c r="F6" i="2"/>
  <c r="F8" i="2"/>
  <c r="F9" i="2"/>
  <c r="DW23" i="3"/>
  <c r="DE23" i="3"/>
  <c r="DE25" i="3" s="1"/>
  <c r="CM23" i="3"/>
  <c r="CM25" i="3" s="1"/>
  <c r="BU23" i="3"/>
  <c r="BC23" i="3"/>
  <c r="AK23" i="3"/>
  <c r="AK25" i="3" s="1"/>
  <c r="S23" i="3"/>
  <c r="DP23" i="3"/>
  <c r="DP25" i="3" s="1"/>
  <c r="CX23" i="3"/>
  <c r="CX25" i="3" s="1"/>
  <c r="CF23" i="3"/>
  <c r="BN23" i="3"/>
  <c r="BN25" i="3" s="1"/>
  <c r="AV23" i="3"/>
  <c r="AV25" i="3" s="1"/>
  <c r="AD23" i="3"/>
  <c r="AD25" i="3" s="1"/>
  <c r="DN23" i="3"/>
  <c r="DN25" i="3" s="1"/>
  <c r="CV23" i="3"/>
  <c r="CD23" i="3"/>
  <c r="BL23" i="3"/>
  <c r="BL25" i="3" s="1"/>
  <c r="AT23" i="3"/>
  <c r="AB23" i="3"/>
  <c r="J23" i="3"/>
  <c r="J25" i="3" s="1"/>
  <c r="DI23" i="3"/>
  <c r="CQ23" i="3"/>
  <c r="CQ25" i="3" s="1"/>
  <c r="BY23" i="3"/>
  <c r="BY25" i="3" s="1"/>
  <c r="BG23" i="3"/>
  <c r="BG25" i="3" s="1"/>
  <c r="AO23" i="3"/>
  <c r="W23" i="3"/>
  <c r="E23" i="3"/>
  <c r="DX23" i="3"/>
  <c r="DX25" i="3" s="1"/>
  <c r="DA23" i="3"/>
  <c r="DA25" i="3" s="1"/>
  <c r="CC23" i="3"/>
  <c r="CC25" i="3" s="1"/>
  <c r="BF23" i="3"/>
  <c r="BF25" i="3" s="1"/>
  <c r="AI23" i="3"/>
  <c r="M23" i="3"/>
  <c r="M25" i="3" s="1"/>
  <c r="DV23" i="3"/>
  <c r="DV25" i="3" s="1"/>
  <c r="CZ23" i="3"/>
  <c r="CZ25" i="3" s="1"/>
  <c r="CB23" i="3"/>
  <c r="BE23" i="3"/>
  <c r="AH23" i="3"/>
  <c r="L23" i="3"/>
  <c r="L25" i="3" s="1"/>
  <c r="H23" i="3"/>
  <c r="H25" i="3" s="1"/>
  <c r="DU23" i="3"/>
  <c r="DU25" i="3" s="1"/>
  <c r="CY23" i="3"/>
  <c r="CY25" i="3" s="1"/>
  <c r="CA23" i="3"/>
  <c r="BD23" i="3"/>
  <c r="BD25" i="3" s="1"/>
  <c r="AG23" i="3"/>
  <c r="K23" i="3"/>
  <c r="K25" i="3" s="1"/>
  <c r="AE23" i="3"/>
  <c r="AE25" i="3" s="1"/>
  <c r="DT23" i="3"/>
  <c r="DT25" i="3" s="1"/>
  <c r="CW23" i="3"/>
  <c r="BZ23" i="3"/>
  <c r="BB23" i="3"/>
  <c r="BB25" i="3" s="1"/>
  <c r="AF23" i="3"/>
  <c r="AF25" i="3" s="1"/>
  <c r="I23" i="3"/>
  <c r="I25" i="3" s="1"/>
  <c r="DS23" i="3"/>
  <c r="CU23" i="3"/>
  <c r="CU25" i="3" s="1"/>
  <c r="BX23" i="3"/>
  <c r="BA23" i="3"/>
  <c r="DR23" i="3"/>
  <c r="DR25" i="3" s="1"/>
  <c r="CT23" i="3"/>
  <c r="CT25" i="3" s="1"/>
  <c r="BW23" i="3"/>
  <c r="BW25" i="3" s="1"/>
  <c r="AZ23" i="3"/>
  <c r="AC23" i="3"/>
  <c r="AC25" i="3" s="1"/>
  <c r="G23" i="3"/>
  <c r="G25" i="3" s="1"/>
  <c r="DL23" i="3"/>
  <c r="DL25" i="3" s="1"/>
  <c r="CH23" i="3"/>
  <c r="CH25" i="3" s="1"/>
  <c r="AU23" i="3"/>
  <c r="AU25" i="3" s="1"/>
  <c r="P23" i="3"/>
  <c r="P25" i="3" s="1"/>
  <c r="DH23" i="3"/>
  <c r="AQ23" i="3"/>
  <c r="BT23" i="3"/>
  <c r="DK23" i="3"/>
  <c r="DK25" i="3" s="1"/>
  <c r="CG23" i="3"/>
  <c r="AS23" i="3"/>
  <c r="AS25" i="3" s="1"/>
  <c r="O23" i="3"/>
  <c r="BV23" i="3"/>
  <c r="DJ23" i="3"/>
  <c r="CE23" i="3"/>
  <c r="CE25" i="3" s="1"/>
  <c r="AR23" i="3"/>
  <c r="AR25" i="3" s="1"/>
  <c r="N23" i="3"/>
  <c r="F23" i="3"/>
  <c r="F25" i="3" s="1"/>
  <c r="DG23" i="3"/>
  <c r="DG25" i="3" s="1"/>
  <c r="AP23" i="3"/>
  <c r="D23" i="3"/>
  <c r="DF23" i="3"/>
  <c r="DF25" i="3" s="1"/>
  <c r="BS23" i="3"/>
  <c r="BS25" i="3" s="1"/>
  <c r="AN23" i="3"/>
  <c r="DB23" i="3"/>
  <c r="BP23" i="3"/>
  <c r="BP25" i="3" s="1"/>
  <c r="AJ23" i="3"/>
  <c r="CS23" i="3"/>
  <c r="BO23" i="3"/>
  <c r="AA23" i="3"/>
  <c r="AA25" i="3" s="1"/>
  <c r="CR23" i="3"/>
  <c r="BM23" i="3"/>
  <c r="BM25" i="3" s="1"/>
  <c r="Z23" i="3"/>
  <c r="Z25" i="3" s="1"/>
  <c r="BR23" i="3"/>
  <c r="BQ23" i="3"/>
  <c r="AM23" i="3"/>
  <c r="AL23" i="3"/>
  <c r="AL25" i="3" s="1"/>
  <c r="R23" i="3"/>
  <c r="R25" i="3" s="1"/>
  <c r="BK23" i="3"/>
  <c r="BK25" i="3" s="1"/>
  <c r="BJ23" i="3"/>
  <c r="BJ25" i="3" s="1"/>
  <c r="AX23" i="3"/>
  <c r="AX25" i="3" s="1"/>
  <c r="BI23" i="3"/>
  <c r="DQ23" i="3"/>
  <c r="DQ25" i="3" s="1"/>
  <c r="AY23" i="3"/>
  <c r="AY25" i="3" s="1"/>
  <c r="DY23" i="3"/>
  <c r="BH23" i="3"/>
  <c r="DO23" i="3"/>
  <c r="AW23" i="3"/>
  <c r="DD23" i="3"/>
  <c r="DM23" i="3"/>
  <c r="DM25" i="3" s="1"/>
  <c r="DC23" i="3"/>
  <c r="CO23" i="3"/>
  <c r="CO25" i="3" s="1"/>
  <c r="CP23" i="3"/>
  <c r="Y23" i="3"/>
  <c r="Y25" i="3" s="1"/>
  <c r="X23" i="3"/>
  <c r="X25" i="3" s="1"/>
  <c r="CN23" i="3"/>
  <c r="V23" i="3"/>
  <c r="V25" i="3" s="1"/>
  <c r="CL23" i="3"/>
  <c r="CL25" i="3" s="1"/>
  <c r="U23" i="3"/>
  <c r="U25" i="3" s="1"/>
  <c r="CK23" i="3"/>
  <c r="T23" i="3"/>
  <c r="CI23" i="3"/>
  <c r="CI25" i="3" s="1"/>
  <c r="Q23" i="3"/>
  <c r="Q25" i="3" s="1"/>
  <c r="CJ23" i="3"/>
  <c r="CW25" i="3" l="1"/>
  <c r="BE19" i="3"/>
  <c r="CC19" i="3"/>
  <c r="AM19" i="3"/>
  <c r="DJ19" i="3"/>
  <c r="DZ13" i="3"/>
  <c r="EA13" i="3" s="1"/>
  <c r="DZ17" i="3"/>
  <c r="EA17" i="3" s="1"/>
  <c r="BA19" i="3"/>
  <c r="AP25" i="3"/>
  <c r="DQ19" i="3"/>
  <c r="AM25" i="3"/>
  <c r="W25" i="3"/>
  <c r="BF19" i="3"/>
  <c r="DC19" i="3"/>
  <c r="AV19" i="3"/>
  <c r="CJ19" i="3"/>
  <c r="BS19" i="3"/>
  <c r="DS19" i="3"/>
  <c r="CA19" i="3"/>
  <c r="CP25" i="3"/>
  <c r="BQ25" i="3"/>
  <c r="N25" i="3"/>
  <c r="AZ25" i="3"/>
  <c r="CA25" i="3"/>
  <c r="AO25" i="3"/>
  <c r="S25" i="3"/>
  <c r="CZ19" i="3"/>
  <c r="DH19" i="3"/>
  <c r="CL19" i="3"/>
  <c r="DF19" i="3"/>
  <c r="DO19" i="3"/>
  <c r="CS19" i="3"/>
  <c r="CH19" i="3"/>
  <c r="CN25" i="3"/>
  <c r="AG25" i="3"/>
  <c r="T19" i="3"/>
  <c r="DU19" i="3"/>
  <c r="W19" i="3"/>
  <c r="DC25" i="3"/>
  <c r="BC25" i="3"/>
  <c r="BK19" i="3"/>
  <c r="AK19" i="3"/>
  <c r="AG19" i="3"/>
  <c r="BM19" i="3"/>
  <c r="CP19" i="3"/>
  <c r="AO19" i="3"/>
  <c r="DE19" i="3"/>
  <c r="DK19" i="3"/>
  <c r="DA19" i="3"/>
  <c r="AJ19" i="3"/>
  <c r="S19" i="3"/>
  <c r="D19" i="3"/>
  <c r="DZ11" i="3"/>
  <c r="EA11" i="3" s="1"/>
  <c r="BG19" i="3"/>
  <c r="BY19" i="3"/>
  <c r="DD25" i="3"/>
  <c r="CR25" i="3"/>
  <c r="BV25" i="3"/>
  <c r="BA25" i="3"/>
  <c r="DI25" i="3"/>
  <c r="DV19" i="3"/>
  <c r="CD19" i="3"/>
  <c r="AS19" i="3"/>
  <c r="AD19" i="3"/>
  <c r="CQ19" i="3"/>
  <c r="E25" i="3"/>
  <c r="DJ25" i="3"/>
  <c r="CE19" i="3"/>
  <c r="BX25" i="3"/>
  <c r="AZ19" i="3"/>
  <c r="DI19" i="3"/>
  <c r="Z19" i="3"/>
  <c r="DZ15" i="3"/>
  <c r="EA15" i="3" s="1"/>
  <c r="DO25" i="3"/>
  <c r="BO25" i="3"/>
  <c r="BE25" i="3"/>
  <c r="AB25" i="3"/>
  <c r="DW25" i="3"/>
  <c r="DZ24" i="3"/>
  <c r="EA24" i="3" s="1"/>
  <c r="DZ16" i="3"/>
  <c r="EA16" i="3" s="1"/>
  <c r="DB19" i="3"/>
  <c r="DW19" i="3"/>
  <c r="BB19" i="3"/>
  <c r="CK19" i="3"/>
  <c r="BV19" i="3"/>
  <c r="AR19" i="3"/>
  <c r="BR25" i="3"/>
  <c r="AX19" i="3"/>
  <c r="BU25" i="3"/>
  <c r="AW25" i="3"/>
  <c r="O25" i="3"/>
  <c r="AH25" i="3"/>
  <c r="BL19" i="3"/>
  <c r="AL19" i="3"/>
  <c r="BO19" i="3"/>
  <c r="CJ25" i="3"/>
  <c r="BH25" i="3"/>
  <c r="CS25" i="3"/>
  <c r="CG25" i="3"/>
  <c r="DS25" i="3"/>
  <c r="CB25" i="3"/>
  <c r="AT25" i="3"/>
  <c r="AF19" i="3"/>
  <c r="AT19" i="3"/>
  <c r="CM19" i="3"/>
  <c r="DG19" i="3"/>
  <c r="CV19" i="3"/>
  <c r="X19" i="3"/>
  <c r="BJ19" i="3"/>
  <c r="CF25" i="3"/>
  <c r="CX19" i="3"/>
  <c r="DY25" i="3"/>
  <c r="AJ25" i="3"/>
  <c r="CG19" i="3"/>
  <c r="DN19" i="3"/>
  <c r="DR19" i="3"/>
  <c r="AP19" i="3"/>
  <c r="BT25" i="3"/>
  <c r="DD19" i="3"/>
  <c r="DX19" i="3"/>
  <c r="BC19" i="3"/>
  <c r="AW19" i="3"/>
  <c r="CT19" i="3"/>
  <c r="AQ25" i="3"/>
  <c r="CV25" i="3"/>
  <c r="AH19" i="3"/>
  <c r="BR19" i="3"/>
  <c r="CN19" i="3"/>
  <c r="AB19" i="3"/>
  <c r="CO19" i="3"/>
  <c r="BZ19" i="3"/>
  <c r="DL19" i="3"/>
  <c r="DZ23" i="3"/>
  <c r="EA23" i="3" s="1"/>
  <c r="D25" i="3"/>
  <c r="BW19" i="3"/>
  <c r="DZ12" i="3"/>
  <c r="EA12" i="3" s="1"/>
  <c r="CB19" i="3"/>
  <c r="CD25" i="3"/>
  <c r="BH19" i="3"/>
  <c r="T25" i="3"/>
  <c r="DB25" i="3"/>
  <c r="CK25" i="3"/>
  <c r="BI25" i="3"/>
  <c r="AN25" i="3"/>
  <c r="DH25" i="3"/>
  <c r="BZ25" i="3"/>
  <c r="AI25" i="3"/>
  <c r="CY19" i="3"/>
  <c r="DM19" i="3"/>
  <c r="DT19" i="3"/>
  <c r="CI19" i="3"/>
  <c r="DP19" i="3"/>
  <c r="BT19" i="3"/>
  <c r="CR19" i="3"/>
  <c r="D30" i="3" l="1"/>
  <c r="D31" i="3" s="1"/>
  <c r="DZ19" i="3"/>
  <c r="B9" i="6" s="1"/>
  <c r="D32" i="3" l="1"/>
  <c r="D33" i="3"/>
  <c r="E28" i="3" l="1"/>
  <c r="E29" i="3" l="1"/>
  <c r="E30" i="3"/>
  <c r="E31" i="3" l="1"/>
  <c r="E33" i="3" s="1"/>
  <c r="E32" i="3" l="1"/>
  <c r="F28" i="3" l="1"/>
  <c r="F29" i="3" l="1"/>
  <c r="F30" i="3"/>
  <c r="F31" i="3" l="1"/>
  <c r="F33" i="3" s="1"/>
  <c r="F32" i="3" l="1"/>
  <c r="G28" i="3" l="1"/>
  <c r="G29" i="3" l="1"/>
  <c r="G30" i="3"/>
  <c r="G31" i="3" l="1"/>
  <c r="G32" i="3" l="1"/>
  <c r="G33" i="3"/>
  <c r="H28" i="3" l="1"/>
  <c r="H29" i="3" l="1"/>
  <c r="H30" i="3"/>
  <c r="H31" i="3" l="1"/>
  <c r="H32" i="3" l="1"/>
  <c r="H33" i="3"/>
  <c r="I28" i="3" l="1"/>
  <c r="I29" i="3" l="1"/>
  <c r="I30" i="3"/>
  <c r="I31" i="3" l="1"/>
  <c r="I32" i="3" s="1"/>
  <c r="J28" i="3" s="1"/>
  <c r="J29" i="3" l="1"/>
  <c r="J30" i="3"/>
  <c r="I33" i="3"/>
  <c r="J31" i="3" l="1"/>
  <c r="J32" i="3" s="1"/>
  <c r="K28" i="3" s="1"/>
  <c r="K29" i="3" l="1"/>
  <c r="K30" i="3"/>
  <c r="J33" i="3"/>
  <c r="K31" i="3" l="1"/>
  <c r="K32" i="3" s="1"/>
  <c r="L28" i="3" s="1"/>
  <c r="L29" i="3" l="1"/>
  <c r="L30" i="3"/>
  <c r="K33" i="3"/>
  <c r="L31" i="3" l="1"/>
  <c r="L32" i="3" s="1"/>
  <c r="M28" i="3" s="1"/>
  <c r="M29" i="3" l="1"/>
  <c r="M30" i="3"/>
  <c r="L33" i="3"/>
  <c r="M31" i="3" l="1"/>
  <c r="M32" i="3" s="1"/>
  <c r="N28" i="3" s="1"/>
  <c r="M33" i="3" l="1"/>
  <c r="N29" i="3"/>
  <c r="N30" i="3"/>
  <c r="N33" i="3" l="1"/>
  <c r="N31" i="3"/>
  <c r="N32" i="3" s="1"/>
  <c r="O28" i="3" s="1"/>
  <c r="O29" i="3" l="1"/>
  <c r="O30" i="3"/>
  <c r="O31" i="3" l="1"/>
  <c r="O32" i="3" s="1"/>
  <c r="P28" i="3" s="1"/>
  <c r="P29" i="3" l="1"/>
  <c r="P30" i="3"/>
  <c r="O33" i="3"/>
  <c r="P31" i="3" l="1"/>
  <c r="P32" i="3" s="1"/>
  <c r="Q28" i="3" s="1"/>
  <c r="Q29" i="3" l="1"/>
  <c r="Q30" i="3"/>
  <c r="P33" i="3"/>
  <c r="Q31" i="3" l="1"/>
  <c r="Q32" i="3" s="1"/>
  <c r="R28" i="3" s="1"/>
  <c r="R29" i="3" l="1"/>
  <c r="R30" i="3"/>
  <c r="Q33" i="3"/>
  <c r="R31" i="3" l="1"/>
  <c r="R32" i="3" s="1"/>
  <c r="S28" i="3" s="1"/>
  <c r="S29" i="3" l="1"/>
  <c r="S30" i="3"/>
  <c r="R33" i="3"/>
  <c r="S31" i="3" l="1"/>
  <c r="S32" i="3" s="1"/>
  <c r="T28" i="3" s="1"/>
  <c r="T29" i="3" l="1"/>
  <c r="T30" i="3"/>
  <c r="S33" i="3"/>
  <c r="T31" i="3" l="1"/>
  <c r="T32" i="3" s="1"/>
  <c r="U28" i="3" s="1"/>
  <c r="U29" i="3" l="1"/>
  <c r="U30" i="3"/>
  <c r="T33" i="3"/>
  <c r="U31" i="3" l="1"/>
  <c r="U32" i="3" s="1"/>
  <c r="V28" i="3" s="1"/>
  <c r="V29" i="3" l="1"/>
  <c r="V30" i="3"/>
  <c r="U33" i="3"/>
  <c r="V31" i="3" l="1"/>
  <c r="V32" i="3" s="1"/>
  <c r="W28" i="3" s="1"/>
  <c r="W29" i="3" l="1"/>
  <c r="W30" i="3"/>
  <c r="V33" i="3"/>
  <c r="W31" i="3" l="1"/>
  <c r="W32" i="3" s="1"/>
  <c r="X28" i="3" s="1"/>
  <c r="X29" i="3" l="1"/>
  <c r="X30" i="3"/>
  <c r="W33" i="3"/>
  <c r="X31" i="3" l="1"/>
  <c r="X32" i="3" s="1"/>
  <c r="Y28" i="3" s="1"/>
  <c r="Y29" i="3" l="1"/>
  <c r="Y30" i="3"/>
  <c r="X33" i="3"/>
  <c r="Y31" i="3" l="1"/>
  <c r="Y32" i="3" s="1"/>
  <c r="Z28" i="3" s="1"/>
  <c r="Z29" i="3" l="1"/>
  <c r="Z30" i="3"/>
  <c r="Y33" i="3"/>
  <c r="Z31" i="3" l="1"/>
  <c r="Z32" i="3" s="1"/>
  <c r="AA28" i="3" s="1"/>
  <c r="AA29" i="3" l="1"/>
  <c r="AA30" i="3"/>
  <c r="Z33" i="3"/>
  <c r="AA31" i="3" l="1"/>
  <c r="AA32" i="3" s="1"/>
  <c r="AB28" i="3" s="1"/>
  <c r="AB29" i="3" l="1"/>
  <c r="AB30" i="3"/>
  <c r="AA33" i="3"/>
  <c r="AB31" i="3" l="1"/>
  <c r="AB32" i="3" s="1"/>
  <c r="AC28" i="3" s="1"/>
  <c r="AC29" i="3" l="1"/>
  <c r="AC30" i="3"/>
  <c r="AB33" i="3"/>
  <c r="AC31" i="3" l="1"/>
  <c r="AC32" i="3" s="1"/>
  <c r="AD28" i="3" s="1"/>
  <c r="AD29" i="3" l="1"/>
  <c r="AD30" i="3"/>
  <c r="AC33" i="3"/>
  <c r="AD31" i="3" l="1"/>
  <c r="AD32" i="3" s="1"/>
  <c r="AE28" i="3" s="1"/>
  <c r="AE29" i="3" l="1"/>
  <c r="AE30" i="3"/>
  <c r="AD33" i="3"/>
  <c r="AE31" i="3" l="1"/>
  <c r="AE32" i="3" s="1"/>
  <c r="AF28" i="3" s="1"/>
  <c r="AE33" i="3"/>
  <c r="AF29" i="3" l="1"/>
  <c r="AF30" i="3"/>
  <c r="AF31" i="3" l="1"/>
  <c r="AF32" i="3" s="1"/>
  <c r="AG28" i="3" s="1"/>
  <c r="AG29" i="3" l="1"/>
  <c r="AG30" i="3"/>
  <c r="AF33" i="3"/>
  <c r="AG31" i="3" l="1"/>
  <c r="AG32" i="3" s="1"/>
  <c r="AH28" i="3" s="1"/>
  <c r="AH29" i="3" l="1"/>
  <c r="AH30" i="3"/>
  <c r="AG33" i="3"/>
  <c r="AH31" i="3" l="1"/>
  <c r="AH32" i="3" s="1"/>
  <c r="AI28" i="3" s="1"/>
  <c r="AI29" i="3" l="1"/>
  <c r="AI30" i="3"/>
  <c r="AH33" i="3"/>
  <c r="AI31" i="3" l="1"/>
  <c r="AI32" i="3" s="1"/>
  <c r="AJ28" i="3" s="1"/>
  <c r="AJ29" i="3" l="1"/>
  <c r="AJ30" i="3"/>
  <c r="AI33" i="3"/>
  <c r="AJ31" i="3" l="1"/>
  <c r="AJ32" i="3" s="1"/>
  <c r="AK28" i="3" s="1"/>
  <c r="AK29" i="3" l="1"/>
  <c r="AK30" i="3"/>
  <c r="AJ33" i="3"/>
  <c r="AK31" i="3" l="1"/>
  <c r="AK32" i="3" s="1"/>
  <c r="AL28" i="3" s="1"/>
  <c r="AL29" i="3" l="1"/>
  <c r="AL30" i="3"/>
  <c r="AK33" i="3"/>
  <c r="AL31" i="3" l="1"/>
  <c r="AL32" i="3" s="1"/>
  <c r="AM28" i="3" s="1"/>
  <c r="AM29" i="3" l="1"/>
  <c r="AM30" i="3"/>
  <c r="AL33" i="3"/>
  <c r="AM31" i="3" l="1"/>
  <c r="AM32" i="3" s="1"/>
  <c r="AN28" i="3" s="1"/>
  <c r="AN29" i="3" l="1"/>
  <c r="AN30" i="3"/>
  <c r="AM33" i="3"/>
  <c r="AN31" i="3" l="1"/>
  <c r="AN32" i="3" s="1"/>
  <c r="AO28" i="3" s="1"/>
  <c r="AO29" i="3" l="1"/>
  <c r="AO30" i="3"/>
  <c r="AN33" i="3"/>
  <c r="AO31" i="3" l="1"/>
  <c r="AO32" i="3" s="1"/>
  <c r="AP28" i="3" s="1"/>
  <c r="AP29" i="3" l="1"/>
  <c r="AP30" i="3"/>
  <c r="AO33" i="3"/>
  <c r="AP31" i="3" l="1"/>
  <c r="AP32" i="3" s="1"/>
  <c r="AQ28" i="3" s="1"/>
  <c r="AQ29" i="3" l="1"/>
  <c r="AQ30" i="3"/>
  <c r="AP33" i="3"/>
  <c r="AQ31" i="3" l="1"/>
  <c r="AQ32" i="3" s="1"/>
  <c r="AR28" i="3" s="1"/>
  <c r="AR29" i="3" l="1"/>
  <c r="AR30" i="3"/>
  <c r="AQ33" i="3"/>
  <c r="AR31" i="3" l="1"/>
  <c r="AR32" i="3" s="1"/>
  <c r="AS28" i="3" s="1"/>
  <c r="AS29" i="3" l="1"/>
  <c r="AS30" i="3"/>
  <c r="AR33" i="3"/>
  <c r="AS31" i="3" l="1"/>
  <c r="AS32" i="3" s="1"/>
  <c r="AT28" i="3" s="1"/>
  <c r="AT29" i="3" l="1"/>
  <c r="AT30" i="3"/>
  <c r="AS33" i="3"/>
  <c r="AT31" i="3" l="1"/>
  <c r="AT32" i="3" s="1"/>
  <c r="AU28" i="3" s="1"/>
  <c r="AU29" i="3" l="1"/>
  <c r="AU30" i="3"/>
  <c r="AT33" i="3"/>
  <c r="AU31" i="3" l="1"/>
  <c r="AU32" i="3" s="1"/>
  <c r="AV28" i="3" s="1"/>
  <c r="AV29" i="3" l="1"/>
  <c r="AV30" i="3"/>
  <c r="AU33" i="3"/>
  <c r="AV31" i="3" l="1"/>
  <c r="AV32" i="3" s="1"/>
  <c r="AW28" i="3" s="1"/>
  <c r="AW29" i="3" l="1"/>
  <c r="AW30" i="3"/>
  <c r="AV33" i="3"/>
  <c r="AW31" i="3" l="1"/>
  <c r="AW32" i="3" s="1"/>
  <c r="AX28" i="3" s="1"/>
  <c r="AW33" i="3"/>
  <c r="AX29" i="3" l="1"/>
  <c r="AX30" i="3"/>
  <c r="AX31" i="3" l="1"/>
  <c r="AX32" i="3" s="1"/>
  <c r="AY28" i="3" s="1"/>
  <c r="AY29" i="3" l="1"/>
  <c r="AY30" i="3"/>
  <c r="AX33" i="3"/>
  <c r="AY31" i="3" l="1"/>
  <c r="AY32" i="3" s="1"/>
  <c r="AZ28" i="3" s="1"/>
  <c r="AZ29" i="3" l="1"/>
  <c r="AZ30" i="3"/>
  <c r="AY33" i="3"/>
  <c r="AZ31" i="3" l="1"/>
  <c r="AZ32" i="3" s="1"/>
  <c r="BA28" i="3" s="1"/>
  <c r="BA29" i="3" l="1"/>
  <c r="BA30" i="3"/>
  <c r="AZ33" i="3"/>
  <c r="BA31" i="3" l="1"/>
  <c r="BA32" i="3" s="1"/>
  <c r="BB28" i="3" s="1"/>
  <c r="BB29" i="3" l="1"/>
  <c r="BB30" i="3"/>
  <c r="BA33" i="3"/>
  <c r="BB31" i="3" l="1"/>
  <c r="BB32" i="3" s="1"/>
  <c r="BC28" i="3" s="1"/>
  <c r="BC29" i="3" l="1"/>
  <c r="BC30" i="3"/>
  <c r="BB33" i="3"/>
  <c r="BC33" i="3" l="1"/>
  <c r="BC31" i="3"/>
  <c r="BC32" i="3" s="1"/>
  <c r="BD28" i="3" s="1"/>
  <c r="BD29" i="3" l="1"/>
  <c r="BD30" i="3"/>
  <c r="BD31" i="3"/>
  <c r="BD32" i="3" s="1"/>
  <c r="BE28" i="3" s="1"/>
  <c r="BE29" i="3" l="1"/>
  <c r="BE30" i="3"/>
  <c r="BD33" i="3"/>
  <c r="BE31" i="3" l="1"/>
  <c r="BE32" i="3" s="1"/>
  <c r="BF28" i="3" s="1"/>
  <c r="BF29" i="3" l="1"/>
  <c r="BF30" i="3"/>
  <c r="BE33" i="3"/>
  <c r="BF31" i="3" l="1"/>
  <c r="BF32" i="3" s="1"/>
  <c r="BG28" i="3" s="1"/>
  <c r="BG29" i="3" l="1"/>
  <c r="BG30" i="3"/>
  <c r="BF33" i="3"/>
  <c r="BG31" i="3" l="1"/>
  <c r="BG32" i="3" s="1"/>
  <c r="BH28" i="3" s="1"/>
  <c r="BH29" i="3" l="1"/>
  <c r="BH30" i="3"/>
  <c r="BG33" i="3"/>
  <c r="BH31" i="3" l="1"/>
  <c r="BH32" i="3" s="1"/>
  <c r="BI28" i="3" s="1"/>
  <c r="BI29" i="3" l="1"/>
  <c r="BI30" i="3"/>
  <c r="BH33" i="3"/>
  <c r="BI31" i="3" l="1"/>
  <c r="BI32" i="3" s="1"/>
  <c r="BJ28" i="3" s="1"/>
  <c r="BJ29" i="3" l="1"/>
  <c r="BJ30" i="3"/>
  <c r="BI33" i="3"/>
  <c r="BJ31" i="3" l="1"/>
  <c r="BJ32" i="3" s="1"/>
  <c r="BK28" i="3" s="1"/>
  <c r="BK29" i="3" l="1"/>
  <c r="BK30" i="3"/>
  <c r="BJ33" i="3"/>
  <c r="BK31" i="3" l="1"/>
  <c r="BK32" i="3" s="1"/>
  <c r="BL28" i="3" s="1"/>
  <c r="BL29" i="3" l="1"/>
  <c r="BL30" i="3"/>
  <c r="BK33" i="3"/>
  <c r="BL31" i="3" l="1"/>
  <c r="BL32" i="3" s="1"/>
  <c r="BM28" i="3" s="1"/>
  <c r="BM29" i="3" l="1"/>
  <c r="BM30" i="3"/>
  <c r="BL33" i="3"/>
  <c r="BM31" i="3" l="1"/>
  <c r="BM32" i="3" s="1"/>
  <c r="BN28" i="3" s="1"/>
  <c r="BN29" i="3" l="1"/>
  <c r="BN30" i="3"/>
  <c r="BM33" i="3"/>
  <c r="BN31" i="3" l="1"/>
  <c r="BN32" i="3" s="1"/>
  <c r="BO28" i="3" s="1"/>
  <c r="BO29" i="3" l="1"/>
  <c r="BO30" i="3"/>
  <c r="BN33" i="3"/>
  <c r="BO31" i="3" l="1"/>
  <c r="BO32" i="3" s="1"/>
  <c r="BP28" i="3" s="1"/>
  <c r="BO33" i="3"/>
  <c r="BP29" i="3" l="1"/>
  <c r="BP30" i="3"/>
  <c r="BP31" i="3" l="1"/>
  <c r="BP32" i="3" s="1"/>
  <c r="BQ28" i="3" s="1"/>
  <c r="BQ29" i="3" l="1"/>
  <c r="BQ30" i="3"/>
  <c r="BP33" i="3"/>
  <c r="BQ31" i="3" l="1"/>
  <c r="BQ32" i="3" s="1"/>
  <c r="BR28" i="3" s="1"/>
  <c r="BR29" i="3" l="1"/>
  <c r="BR30" i="3"/>
  <c r="BQ33" i="3"/>
  <c r="BR31" i="3" l="1"/>
  <c r="BR32" i="3" s="1"/>
  <c r="BS28" i="3" s="1"/>
  <c r="BS29" i="3" l="1"/>
  <c r="BS30" i="3"/>
  <c r="BR33" i="3"/>
  <c r="BS31" i="3" l="1"/>
  <c r="BS32" i="3" s="1"/>
  <c r="BT28" i="3" s="1"/>
  <c r="BT29" i="3" l="1"/>
  <c r="BT30" i="3"/>
  <c r="BS33" i="3"/>
  <c r="BT31" i="3" l="1"/>
  <c r="BT32" i="3" s="1"/>
  <c r="BU28" i="3" s="1"/>
  <c r="BU29" i="3" l="1"/>
  <c r="BU30" i="3"/>
  <c r="BT33" i="3"/>
  <c r="BU31" i="3" l="1"/>
  <c r="BU32" i="3" s="1"/>
  <c r="BV28" i="3" s="1"/>
  <c r="BV29" i="3" l="1"/>
  <c r="BV30" i="3"/>
  <c r="BU33" i="3"/>
  <c r="BV31" i="3" l="1"/>
  <c r="BV32" i="3" s="1"/>
  <c r="BW28" i="3" s="1"/>
  <c r="BW29" i="3" l="1"/>
  <c r="BW30" i="3"/>
  <c r="BV33" i="3"/>
  <c r="BW31" i="3" l="1"/>
  <c r="BW32" i="3" s="1"/>
  <c r="BX28" i="3" s="1"/>
  <c r="BX29" i="3" l="1"/>
  <c r="BX30" i="3"/>
  <c r="BW33" i="3"/>
  <c r="BX31" i="3" l="1"/>
  <c r="BX32" i="3" s="1"/>
  <c r="BY28" i="3" s="1"/>
  <c r="BY29" i="3" l="1"/>
  <c r="BY30" i="3"/>
  <c r="BX33" i="3"/>
  <c r="BY31" i="3" l="1"/>
  <c r="BY32" i="3" s="1"/>
  <c r="BZ28" i="3" s="1"/>
  <c r="BZ29" i="3" l="1"/>
  <c r="BZ30" i="3"/>
  <c r="BY33" i="3"/>
  <c r="BZ31" i="3" l="1"/>
  <c r="BZ32" i="3" s="1"/>
  <c r="CA28" i="3" s="1"/>
  <c r="CA29" i="3" l="1"/>
  <c r="CA30" i="3"/>
  <c r="BZ33" i="3"/>
  <c r="CA31" i="3" l="1"/>
  <c r="CA32" i="3" s="1"/>
  <c r="CB28" i="3" s="1"/>
  <c r="CB29" i="3" l="1"/>
  <c r="CB30" i="3"/>
  <c r="CA33" i="3"/>
  <c r="CB31" i="3" l="1"/>
  <c r="CB32" i="3" s="1"/>
  <c r="CC28" i="3" s="1"/>
  <c r="CC29" i="3" l="1"/>
  <c r="CC30" i="3"/>
  <c r="CB33" i="3"/>
  <c r="CC31" i="3" l="1"/>
  <c r="CC32" i="3" s="1"/>
  <c r="CD28" i="3" s="1"/>
  <c r="CD29" i="3" l="1"/>
  <c r="CD30" i="3"/>
  <c r="CC33" i="3"/>
  <c r="CD31" i="3" l="1"/>
  <c r="CD32" i="3" s="1"/>
  <c r="CE28" i="3" s="1"/>
  <c r="CE29" i="3" l="1"/>
  <c r="CE30" i="3"/>
  <c r="CD33" i="3"/>
  <c r="CE31" i="3" l="1"/>
  <c r="CE32" i="3" s="1"/>
  <c r="CF28" i="3" s="1"/>
  <c r="CF29" i="3" l="1"/>
  <c r="CF30" i="3"/>
  <c r="CE33" i="3"/>
  <c r="CF31" i="3" l="1"/>
  <c r="CF32" i="3" s="1"/>
  <c r="CG28" i="3" s="1"/>
  <c r="CG29" i="3" l="1"/>
  <c r="CG30" i="3"/>
  <c r="CF33" i="3"/>
  <c r="CG31" i="3" l="1"/>
  <c r="CG32" i="3" s="1"/>
  <c r="CH28" i="3" s="1"/>
  <c r="CG33" i="3"/>
  <c r="CH29" i="3" l="1"/>
  <c r="CH30" i="3"/>
  <c r="CH31" i="3" l="1"/>
  <c r="CH32" i="3" s="1"/>
  <c r="CI28" i="3" s="1"/>
  <c r="CI29" i="3" l="1"/>
  <c r="CI30" i="3"/>
  <c r="CH33" i="3"/>
  <c r="CI31" i="3" l="1"/>
  <c r="CI32" i="3" s="1"/>
  <c r="CJ28" i="3" s="1"/>
  <c r="CJ29" i="3" l="1"/>
  <c r="CJ30" i="3"/>
  <c r="CI33" i="3"/>
  <c r="CJ31" i="3" l="1"/>
  <c r="CJ32" i="3" s="1"/>
  <c r="CK28" i="3" s="1"/>
  <c r="CK29" i="3" l="1"/>
  <c r="CK30" i="3"/>
  <c r="CJ33" i="3"/>
  <c r="CK31" i="3" l="1"/>
  <c r="CK32" i="3" s="1"/>
  <c r="CL28" i="3" s="1"/>
  <c r="CL29" i="3" l="1"/>
  <c r="CL30" i="3"/>
  <c r="CK33" i="3"/>
  <c r="CL31" i="3" l="1"/>
  <c r="CL32" i="3" s="1"/>
  <c r="CM28" i="3" s="1"/>
  <c r="CM29" i="3" l="1"/>
  <c r="CM30" i="3"/>
  <c r="CL33" i="3"/>
  <c r="CM31" i="3" l="1"/>
  <c r="CM32" i="3" s="1"/>
  <c r="CN28" i="3" s="1"/>
  <c r="CN29" i="3" l="1"/>
  <c r="CN30" i="3"/>
  <c r="CM33" i="3"/>
  <c r="CN31" i="3" l="1"/>
  <c r="CN32" i="3" s="1"/>
  <c r="CO28" i="3" s="1"/>
  <c r="CO29" i="3" l="1"/>
  <c r="CO30" i="3"/>
  <c r="CN33" i="3"/>
  <c r="CO31" i="3" l="1"/>
  <c r="CO32" i="3" s="1"/>
  <c r="CP28" i="3" s="1"/>
  <c r="CP29" i="3" l="1"/>
  <c r="CP30" i="3"/>
  <c r="CO33" i="3"/>
  <c r="CP31" i="3" l="1"/>
  <c r="CP32" i="3" s="1"/>
  <c r="CQ28" i="3" s="1"/>
  <c r="CQ29" i="3" l="1"/>
  <c r="CQ30" i="3"/>
  <c r="CP33" i="3"/>
  <c r="CQ31" i="3" l="1"/>
  <c r="CQ32" i="3" s="1"/>
  <c r="CR28" i="3" s="1"/>
  <c r="CR29" i="3" l="1"/>
  <c r="CR30" i="3"/>
  <c r="CQ33" i="3"/>
  <c r="CR31" i="3" l="1"/>
  <c r="CR32" i="3" s="1"/>
  <c r="CS28" i="3" s="1"/>
  <c r="CS29" i="3" l="1"/>
  <c r="CS30" i="3"/>
  <c r="CR33" i="3"/>
  <c r="CS31" i="3" l="1"/>
  <c r="CS32" i="3" s="1"/>
  <c r="CT28" i="3" s="1"/>
  <c r="CT29" i="3" l="1"/>
  <c r="CT30" i="3"/>
  <c r="CS33" i="3"/>
  <c r="CT31" i="3" l="1"/>
  <c r="CT32" i="3" s="1"/>
  <c r="CU28" i="3" s="1"/>
  <c r="CU29" i="3" l="1"/>
  <c r="CU30" i="3"/>
  <c r="CT33" i="3"/>
  <c r="CU31" i="3" l="1"/>
  <c r="CU32" i="3" s="1"/>
  <c r="CV28" i="3" s="1"/>
  <c r="CV29" i="3" l="1"/>
  <c r="CV30" i="3"/>
  <c r="CU33" i="3"/>
  <c r="CV31" i="3" l="1"/>
  <c r="CV32" i="3" s="1"/>
  <c r="CW28" i="3" s="1"/>
  <c r="CW29" i="3" l="1"/>
  <c r="CW30" i="3"/>
  <c r="CV33" i="3"/>
  <c r="CW31" i="3" l="1"/>
  <c r="CW32" i="3" s="1"/>
  <c r="CX28" i="3" s="1"/>
  <c r="CX29" i="3" l="1"/>
  <c r="CX30" i="3"/>
  <c r="CW33" i="3"/>
  <c r="CX31" i="3" l="1"/>
  <c r="CX32" i="3" s="1"/>
  <c r="CY28" i="3" s="1"/>
  <c r="CY29" i="3" l="1"/>
  <c r="CY30" i="3"/>
  <c r="CX33" i="3"/>
  <c r="CY31" i="3" l="1"/>
  <c r="CY32" i="3" s="1"/>
  <c r="CZ28" i="3" s="1"/>
  <c r="CY33" i="3" l="1"/>
  <c r="CZ29" i="3"/>
  <c r="CZ30" i="3"/>
  <c r="CZ31" i="3" l="1"/>
  <c r="CZ32" i="3" s="1"/>
  <c r="DA28" i="3" s="1"/>
  <c r="DA29" i="3" l="1"/>
  <c r="DA30" i="3"/>
  <c r="CZ33" i="3"/>
  <c r="DA31" i="3" l="1"/>
  <c r="DA32" i="3" s="1"/>
  <c r="DB28" i="3" s="1"/>
  <c r="DB29" i="3" l="1"/>
  <c r="DB30" i="3"/>
  <c r="DA33" i="3"/>
  <c r="DB31" i="3" l="1"/>
  <c r="DB32" i="3" s="1"/>
  <c r="DC28" i="3" s="1"/>
  <c r="DC29" i="3" l="1"/>
  <c r="DC30" i="3"/>
  <c r="DB33" i="3"/>
  <c r="DC31" i="3" l="1"/>
  <c r="DC32" i="3" s="1"/>
  <c r="DD28" i="3" s="1"/>
  <c r="DD29" i="3" l="1"/>
  <c r="DD30" i="3"/>
  <c r="DC33" i="3"/>
  <c r="DD31" i="3" l="1"/>
  <c r="DD32" i="3" s="1"/>
  <c r="DE28" i="3" s="1"/>
  <c r="DE29" i="3" l="1"/>
  <c r="DE30" i="3"/>
  <c r="DD33" i="3"/>
  <c r="DE31" i="3" l="1"/>
  <c r="DE32" i="3" s="1"/>
  <c r="DF28" i="3" s="1"/>
  <c r="DF29" i="3" l="1"/>
  <c r="DF30" i="3"/>
  <c r="DE33" i="3"/>
  <c r="DF31" i="3" l="1"/>
  <c r="DF32" i="3" s="1"/>
  <c r="DG28" i="3" s="1"/>
  <c r="DG29" i="3" l="1"/>
  <c r="DG30" i="3"/>
  <c r="DF33" i="3"/>
  <c r="DG31" i="3" l="1"/>
  <c r="DG32" i="3" s="1"/>
  <c r="DH28" i="3" s="1"/>
  <c r="DH29" i="3" l="1"/>
  <c r="DH30" i="3"/>
  <c r="DG33" i="3"/>
  <c r="DH31" i="3" l="1"/>
  <c r="DH32" i="3" s="1"/>
  <c r="DI28" i="3" s="1"/>
  <c r="DI29" i="3" l="1"/>
  <c r="DI30" i="3"/>
  <c r="DH33" i="3"/>
  <c r="DI31" i="3" l="1"/>
  <c r="DI32" i="3" s="1"/>
  <c r="DJ28" i="3" s="1"/>
  <c r="DJ29" i="3" l="1"/>
  <c r="DJ30" i="3"/>
  <c r="DI33" i="3"/>
  <c r="DJ31" i="3" l="1"/>
  <c r="DJ32" i="3" s="1"/>
  <c r="DK28" i="3" s="1"/>
  <c r="DK29" i="3" l="1"/>
  <c r="DK30" i="3"/>
  <c r="DJ33" i="3"/>
  <c r="DK31" i="3" l="1"/>
  <c r="DK32" i="3" s="1"/>
  <c r="DL28" i="3" s="1"/>
  <c r="DL29" i="3" l="1"/>
  <c r="DL30" i="3"/>
  <c r="DK33" i="3"/>
  <c r="DL31" i="3" l="1"/>
  <c r="DL32" i="3" s="1"/>
  <c r="DM28" i="3" s="1"/>
  <c r="DM29" i="3" l="1"/>
  <c r="DM30" i="3"/>
  <c r="DL33" i="3"/>
  <c r="DM31" i="3" l="1"/>
  <c r="DM32" i="3" s="1"/>
  <c r="DN28" i="3" s="1"/>
  <c r="DN29" i="3" l="1"/>
  <c r="DN30" i="3"/>
  <c r="DM33" i="3"/>
  <c r="DN31" i="3" l="1"/>
  <c r="DN32" i="3" s="1"/>
  <c r="DO28" i="3" s="1"/>
  <c r="DO29" i="3" l="1"/>
  <c r="DO30" i="3"/>
  <c r="DN33" i="3"/>
  <c r="DO31" i="3" l="1"/>
  <c r="DO32" i="3" s="1"/>
  <c r="DP28" i="3" s="1"/>
  <c r="DP29" i="3" l="1"/>
  <c r="DP30" i="3"/>
  <c r="DO33" i="3"/>
  <c r="DP31" i="3" l="1"/>
  <c r="DP32" i="3" s="1"/>
  <c r="DQ28" i="3" s="1"/>
  <c r="DQ29" i="3" l="1"/>
  <c r="DQ30" i="3"/>
  <c r="DP33" i="3"/>
  <c r="DQ31" i="3" l="1"/>
  <c r="DQ32" i="3" s="1"/>
  <c r="DR28" i="3" s="1"/>
  <c r="DQ33" i="3"/>
  <c r="DR29" i="3" l="1"/>
  <c r="DR30" i="3"/>
  <c r="DR31" i="3" l="1"/>
  <c r="DR32" i="3" s="1"/>
  <c r="DS28" i="3" s="1"/>
  <c r="DS29" i="3" l="1"/>
  <c r="DS30" i="3"/>
  <c r="DR33" i="3"/>
  <c r="DS31" i="3" l="1"/>
  <c r="DS32" i="3" s="1"/>
  <c r="DT28" i="3" s="1"/>
  <c r="DT29" i="3" l="1"/>
  <c r="DT30" i="3"/>
  <c r="DS33" i="3"/>
  <c r="DT31" i="3" l="1"/>
  <c r="DT32" i="3" s="1"/>
  <c r="DU28" i="3" s="1"/>
  <c r="DU29" i="3" l="1"/>
  <c r="DU30" i="3"/>
  <c r="DT33" i="3"/>
  <c r="DU31" i="3" l="1"/>
  <c r="DU32" i="3" s="1"/>
  <c r="DV28" i="3" s="1"/>
  <c r="DV29" i="3" l="1"/>
  <c r="DV30" i="3"/>
  <c r="DU33" i="3"/>
  <c r="DV31" i="3" l="1"/>
  <c r="DV32" i="3" s="1"/>
  <c r="DW28" i="3" s="1"/>
  <c r="DW29" i="3" l="1"/>
  <c r="DW30" i="3"/>
  <c r="DV33" i="3"/>
  <c r="DW31" i="3" l="1"/>
  <c r="DW32" i="3" s="1"/>
  <c r="DX28" i="3" s="1"/>
  <c r="DX29" i="3" l="1"/>
  <c r="DX30" i="3"/>
  <c r="DW33" i="3"/>
  <c r="DX31" i="3" l="1"/>
  <c r="DX32" i="3" s="1"/>
  <c r="DY28" i="3" s="1"/>
  <c r="DY29" i="3" l="1"/>
  <c r="DZ29" i="3" s="1"/>
  <c r="C38" i="3" s="1"/>
  <c r="DY30" i="3"/>
  <c r="DX33" i="3"/>
  <c r="DY31" i="3" l="1"/>
  <c r="B11" i="5"/>
  <c r="H68" i="2"/>
  <c r="J68" i="2" l="1"/>
  <c r="J70" i="2" s="1"/>
  <c r="J71" i="2" s="1"/>
  <c r="L68" i="2"/>
  <c r="L70" i="2" s="1"/>
  <c r="L71" i="2" s="1"/>
  <c r="K68" i="2"/>
  <c r="K70" i="2" s="1"/>
  <c r="K71" i="2" s="1"/>
  <c r="H70" i="2"/>
  <c r="DZ31" i="3"/>
  <c r="DY32" i="3"/>
  <c r="C35" i="3" s="1"/>
  <c r="DY33" i="3"/>
  <c r="C36" i="3" s="1"/>
  <c r="H71" i="2" l="1"/>
  <c r="C37" i="3"/>
  <c r="B12" i="5"/>
  <c r="B6" i="6"/>
  <c r="B13" i="5"/>
  <c r="B7" i="6" l="1"/>
  <c r="B14" i="5"/>
  <c r="B17" i="5"/>
  <c r="B13" i="4"/>
  <c r="B12" i="4"/>
  <c r="B8" i="5"/>
  <c r="H72" i="2"/>
  <c r="B4" i="6" s="1"/>
  <c r="F26" i="2"/>
  <c r="E76" i="2"/>
  <c r="F41" i="2"/>
  <c r="F63" i="2"/>
  <c r="B7" i="4"/>
  <c r="D18" i="4"/>
  <c r="E8" i="4"/>
  <c r="D7" i="4"/>
  <c r="E9" i="4"/>
  <c r="B8" i="4"/>
  <c r="C18" i="4"/>
  <c r="D9" i="4"/>
  <c r="C9" i="4"/>
  <c r="C7" i="4"/>
  <c r="B9" i="4"/>
  <c r="E77" i="2"/>
  <c r="E18" i="4"/>
  <c r="D8" i="4"/>
  <c r="E7" i="4"/>
  <c r="B18" i="4"/>
  <c r="C8" i="4"/>
  <c r="F70" i="2"/>
  <c r="B8" i="6" l="1"/>
  <c r="B15" i="5"/>
  <c r="B5" i="6"/>
  <c r="B3" i="4"/>
  <c r="B9" i="5"/>
  <c r="E79" i="2"/>
  <c r="E78" i="2"/>
  <c r="B10" i="5" s="1"/>
</calcChain>
</file>

<file path=xl/sharedStrings.xml><?xml version="1.0" encoding="utf-8"?>
<sst xmlns="http://schemas.openxmlformats.org/spreadsheetml/2006/main" count="524" uniqueCount="441">
  <si>
    <t>파주 축현리 도시개발사업 — 입력 변수</t>
  </si>
  <si>
    <t>■ 사업 개요</t>
  </si>
  <si>
    <t>구분</t>
  </si>
  <si>
    <t>항목</t>
  </si>
  <si>
    <t>값</t>
  </si>
  <si>
    <t>단위</t>
  </si>
  <si>
    <t>비고</t>
  </si>
  <si>
    <t>사업</t>
  </si>
  <si>
    <t>사업유형</t>
  </si>
  <si>
    <t>민간 자체시행 — 도시개발사업(수용·사용방식)</t>
  </si>
  <si>
    <t>정비사업 / 민간 자체시행</t>
  </si>
  <si>
    <t>소재지</t>
  </si>
  <si>
    <t>경기도 파주시 탄현면 축현리 608-5번지 일원</t>
  </si>
  <si>
    <t>조례·분양가상한제 확인 대상</t>
  </si>
  <si>
    <t>규모</t>
  </si>
  <si>
    <t>대지면적</t>
  </si>
  <si>
    <t>㎡</t>
  </si>
  <si>
    <t>대지면적(평)</t>
  </si>
  <si>
    <t>평</t>
  </si>
  <si>
    <t>㎡ × 0.3025 자동환산</t>
  </si>
  <si>
    <t>지상연면적</t>
  </si>
  <si>
    <t>지상연면적(평)</t>
  </si>
  <si>
    <t>지하연면적</t>
  </si>
  <si>
    <t>연면적 합계(평)</t>
  </si>
  <si>
    <t>(지상+지하) × 0.3025 자동환산</t>
  </si>
  <si>
    <t>건폐율</t>
  </si>
  <si>
    <t>용적률</t>
  </si>
  <si>
    <t>세대수</t>
  </si>
  <si>
    <t>세대</t>
  </si>
  <si>
    <t>주차대수</t>
  </si>
  <si>
    <t>대</t>
  </si>
  <si>
    <t>■ 사업 기간</t>
  </si>
  <si>
    <t>기간</t>
  </si>
  <si>
    <t>인허가 기간</t>
  </si>
  <si>
    <t>개월</t>
  </si>
  <si>
    <t>표준 일정</t>
  </si>
  <si>
    <t>공사 기간</t>
  </si>
  <si>
    <t>분양~정산 기간</t>
  </si>
  <si>
    <t>지연 버퍼</t>
  </si>
  <si>
    <t>★ 별도 계상 — 은폐 금지</t>
  </si>
  <si>
    <t>총 사업기간</t>
  </si>
  <si>
    <t>■ 금융 조건</t>
  </si>
  <si>
    <t>자기자본(Equity)</t>
  </si>
  <si>
    <t>천원</t>
  </si>
  <si>
    <t>본PF 통합(Tr.A 선순위+Tr.B 중순위+Tr.C 후순위) 한도</t>
  </si>
  <si>
    <t>본PF 통합(Tr.A 선순위+Tr.B 중순위+Tr.C 후순위) 금리</t>
  </si>
  <si>
    <t>본PF 통합(Tr.A 선순위+Tr.B 중순위+Tr.C 후순위) 취급수수료</t>
  </si>
  <si>
    <t>브릿지(토지담보) 한도</t>
  </si>
  <si>
    <t>브릿지(토지담보) 금리</t>
  </si>
  <si>
    <t>브릿지(토지담보) 취급수수료</t>
  </si>
  <si>
    <t>■ 분양 대금 납입 구조</t>
  </si>
  <si>
    <t>계약금 비율</t>
  </si>
  <si>
    <t>중도금 차수</t>
  </si>
  <si>
    <t>회</t>
  </si>
  <si>
    <t>중도금 회차별 비율</t>
  </si>
  <si>
    <t>잔금 비율</t>
  </si>
  <si>
    <t>적립계좌 비율(준공전)</t>
  </si>
  <si>
    <t>대출 상환 재원</t>
  </si>
  <si>
    <t>적립계좌 비율(준공후)</t>
  </si>
  <si>
    <t>※ 노란색 셀만 수정하십시오. 나머지는 수식으로 연결되어 자동 재계산됩니다.</t>
  </si>
  <si>
    <t>파주 축현리 도시개발사업 — 사업수지</t>
  </si>
  <si>
    <t>(단위: 천원, VAT 별도)</t>
  </si>
  <si>
    <t>■ 수입</t>
  </si>
  <si>
    <t>세부</t>
  </si>
  <si>
    <t>분양면적(평)</t>
  </si>
  <si>
    <t>평당분양가</t>
  </si>
  <si>
    <t>수입액</t>
  </si>
  <si>
    <t>구성비</t>
  </si>
  <si>
    <t>주거</t>
  </si>
  <si>
    <t>전용 59㎡ (25평형) 457세대</t>
  </si>
  <si>
    <t>SSOT §3 기준 시나리오 1,350만원/평 (면적기준 안분)</t>
  </si>
  <si>
    <t>전용 74㎡ (30평형) 241세대</t>
  </si>
  <si>
    <t>전용 84㎡ (34평형) 1,747세대</t>
  </si>
  <si>
    <t>전용 110㎡ (45평형) 50세대</t>
  </si>
  <si>
    <t>근생</t>
  </si>
  <si>
    <t>근린생활시설 1,799㎡</t>
  </si>
  <si>
    <t>[가정] sales-analyst §4-1 — 실적 미조회</t>
  </si>
  <si>
    <t>분양 총액</t>
  </si>
  <si>
    <t>VAT</t>
  </si>
  <si>
    <t>수입 총계</t>
  </si>
  <si>
    <t>■ 지출</t>
  </si>
  <si>
    <t>분류</t>
  </si>
  <si>
    <t>산출근거</t>
  </si>
  <si>
    <t>수량</t>
  </si>
  <si>
    <t>단가·요율</t>
  </si>
  <si>
    <t>신뢰도</t>
  </si>
  <si>
    <t>금액</t>
  </si>
  <si>
    <t>기투입(Equity)</t>
  </si>
  <si>
    <t>필수(PF)</t>
  </si>
  <si>
    <t>분양불</t>
  </si>
  <si>
    <t>준공후불</t>
  </si>
  <si>
    <t>토지비</t>
  </si>
  <si>
    <t>토지매입비</t>
  </si>
  <si>
    <t>55,241평 × 1,200천원/평</t>
  </si>
  <si>
    <t>[가정] 2024 워크북 값 — 2026 재검증 필요</t>
  </si>
  <si>
    <t>토지비 지가상승분</t>
  </si>
  <si>
    <t>토지매입비 × 연2.5% × 5년 (2026→2031 보상기준시점)</t>
  </si>
  <si>
    <t>[가정] 연 2.5%</t>
  </si>
  <si>
    <t>취득세·지방교육세·농특세</t>
  </si>
  <si>
    <t>토지취득가 × 4.6%</t>
  </si>
  <si>
    <t>법정요율</t>
  </si>
  <si>
    <t>법무사·등기 수수료</t>
  </si>
  <si>
    <t>토지취득가 × 0.2%</t>
  </si>
  <si>
    <t>관행</t>
  </si>
  <si>
    <t>지주작업 용역비</t>
  </si>
  <si>
    <t>정액</t>
  </si>
  <si>
    <t>[가정] 2024 워크북</t>
  </si>
  <si>
    <t>감정평가·보상업무 위탁비</t>
  </si>
  <si>
    <t>토지취득가 × 2.0% (수용방식 보상 위탁)</t>
  </si>
  <si>
    <t>[가정] 관행</t>
  </si>
  <si>
    <t>지장물·영업손실·이전보상</t>
  </si>
  <si>
    <t>창고·목장용지 25,868㎡ 대상</t>
  </si>
  <si>
    <t>[가정] 실사 필요</t>
  </si>
  <si>
    <t>지목변경 간주취득세</t>
  </si>
  <si>
    <t>조성 준공 시 지목변경 (지방세법 제7조 제4항) — 과표 [가정] 800억 × 2.2%</t>
  </si>
  <si>
    <t>★ tax-accountant 신규 계상</t>
  </si>
  <si>
    <t>국공유지 매입비</t>
  </si>
  <si>
    <t>구역 내 국공유지 면적 미상 — 토지조서 필요</t>
  </si>
  <si>
    <t>[미산정] permit-navigator §4-4</t>
  </si>
  <si>
    <t>토지비 소계</t>
  </si>
  <si>
    <t>건축비</t>
  </si>
  <si>
    <t>도급공사비(주택)</t>
  </si>
  <si>
    <t>연면적 123,024평 × 7,000천원/평</t>
  </si>
  <si>
    <t>SSOT §2 — 4방향 벤치마크 교차검증</t>
  </si>
  <si>
    <t>★ 공사비 물가상승분</t>
  </si>
  <si>
    <t>도급공사비 × 연3% × 6년 (19.4%) — 착공 2033.08</t>
  </si>
  <si>
    <t>[가정] 건설공사비지수 — 차단2 필수</t>
  </si>
  <si>
    <t>★ 부지조성공사비(절·성토·기반시설)</t>
  </si>
  <si>
    <t>구역 184,660㎡ × 150천원/㎡</t>
  </si>
  <si>
    <t>[가정] 임야36.2%·농지49.0% — 견적 필요</t>
  </si>
  <si>
    <t>진입도로 개설비</t>
  </si>
  <si>
    <t>지장물 철거·석면조사</t>
  </si>
  <si>
    <t>인입공사분담금(전기·통신·가스)</t>
  </si>
  <si>
    <t>SSOT §5</t>
  </si>
  <si>
    <t>미술작품 설치비</t>
  </si>
  <si>
    <t>문화예술진흥법 — 건축비 연동</t>
  </si>
  <si>
    <t>[가정] 2024 워크북 — 요율 확인 필요</t>
  </si>
  <si>
    <t>건축설계비</t>
  </si>
  <si>
    <t>CM·감리비</t>
  </si>
  <si>
    <t>지질조사·측량·토목설계</t>
  </si>
  <si>
    <t>[가정]</t>
  </si>
  <si>
    <t>영향평가 용역(교통·소규모환경·재해)</t>
  </si>
  <si>
    <t>3종</t>
  </si>
  <si>
    <t>매장유산 지표조사</t>
  </si>
  <si>
    <t>사업면적 3만㎡ 이상 → 대상</t>
  </si>
  <si>
    <t>[가정] 발굴 전환 시 예비비 충당</t>
  </si>
  <si>
    <t>도시개발 인허가 용역(개발계획·실시계획·지구단위)</t>
  </si>
  <si>
    <t>건물 보존등기비(원시취득 취득세 등)</t>
  </si>
  <si>
    <t>건축공사비(물가포함) × 3.16%</t>
  </si>
  <si>
    <t>법정요율 — tax-accountant 확정 대기</t>
  </si>
  <si>
    <t>건축비 소계</t>
  </si>
  <si>
    <t>부대비용</t>
  </si>
  <si>
    <t>시행사 일반관리비</t>
  </si>
  <si>
    <t>126개월 × 250,000천원/월</t>
  </si>
  <si>
    <t>[가정] 연 30억</t>
  </si>
  <si>
    <t>신탁보수(관리형토지신탁·대리사무)</t>
  </si>
  <si>
    <t>분양총액 × 1.5%</t>
  </si>
  <si>
    <t>[가정] 업계 요율 — 계약 필요</t>
  </si>
  <si>
    <t>분양대행수수료</t>
  </si>
  <si>
    <t>2,495세대 × 20,000천원</t>
  </si>
  <si>
    <t>2024 워크북 관행단가</t>
  </si>
  <si>
    <t>광고선전비</t>
  </si>
  <si>
    <t>정액 — 미분양 국면 반영</t>
  </si>
  <si>
    <t>모델하우스 건립·운영비</t>
  </si>
  <si>
    <t>분양기간 36개월</t>
  </si>
  <si>
    <t>분양보증수수료(HUG)</t>
  </si>
  <si>
    <t>분양총액 × 0.4%</t>
  </si>
  <si>
    <t>[가정] 요율 0.226~0.66%</t>
  </si>
  <si>
    <t>★ 중도금 무이자 부담</t>
  </si>
  <si>
    <t>sales-analyst §10-1 (금리5%·평균거치 13개월)</t>
  </si>
  <si>
    <t>[가정] — 차단4 필수</t>
  </si>
  <si>
    <t>★ 준공후 미분양 보유비용</t>
  </si>
  <si>
    <t>449세대 × 3,140천원/월 × 24개월</t>
  </si>
  <si>
    <t>[가정] 2년 보유 — sales-analyst §9-3</t>
  </si>
  <si>
    <t>★ 할인분양 손실</t>
  </si>
  <si>
    <t>449세대 × 15% 할인 (sales-analyst §9-4)</t>
  </si>
  <si>
    <t>[가정] — 전세대 소급 시 164,700,000</t>
  </si>
  <si>
    <t>농지보전부담금</t>
  </si>
  <si>
    <t>농지 85,693㎡ × 50천원/㎡(상한)</t>
  </si>
  <si>
    <t>대체산림자원조성비</t>
  </si>
  <si>
    <t>임야 63,281㎡ × 준보전 6,860원/㎡ + 공시지가 1% 가산</t>
  </si>
  <si>
    <t>★ tax-accountant 확정 (2026 단가)</t>
  </si>
  <si>
    <t>학교용지부담금</t>
  </si>
  <si>
    <t>분양가격 × 0.4% (법률 제20568호, 2025.6.21 시행)</t>
  </si>
  <si>
    <t>★ tax 정정 — 개정 요율 확정 (0.8%→0.4%)</t>
  </si>
  <si>
    <t>광역교통시설부담금</t>
  </si>
  <si>
    <t>표준개발비 × 30%(수도권) × 개발면적 × 용적률/200 (대광법 제11조)</t>
  </si>
  <si>
    <t>★ tax 정정 [가정] 범위 12,300,000~25,100,000</t>
  </si>
  <si>
    <t>상하수도 원인자부담금</t>
  </si>
  <si>
    <t>각종 보증수수료(하자·공탁 등)</t>
  </si>
  <si>
    <t>민원처리비</t>
  </si>
  <si>
    <t>정액 — 수용·보상 민원</t>
  </si>
  <si>
    <t>입주관리·정산비</t>
  </si>
  <si>
    <t>★ 개발부담금</t>
  </si>
  <si>
    <t>지가상승분 × 부과율 20%(계획입지) — 사업손익과 무관</t>
  </si>
  <si>
    <t>★ tax 정정 [가정] 범위 0~34,000,000 — "적자→0" 전제 폐기</t>
  </si>
  <si>
    <t>★ VAT 매입세액 불공제</t>
  </si>
  <si>
    <t>설계·감리·분양대행·신탁 매입세액 202억 × 면세비율 98.114%</t>
  </si>
  <si>
    <t>★ tax 신규 [가정] 과세비율 1.886%</t>
  </si>
  <si>
    <t>★ 재산세·종합부동산세</t>
  </si>
  <si>
    <t>토지 보유 5~6년 · 과세기준일 6회</t>
  </si>
  <si>
    <t>★ tax 신규 [가정] 범위 1,400,000~8,000,000</t>
  </si>
  <si>
    <t>★ 예비비</t>
  </si>
  <si>
    <t>총사업비(금융제외) × 3.0%</t>
  </si>
  <si>
    <t>★ 필수 계상 — 차단5</t>
  </si>
  <si>
    <t>부대비용 소계</t>
  </si>
  <si>
    <t>금융비용</t>
  </si>
  <si>
    <t>금융자문수수료</t>
  </si>
  <si>
    <t>조달총액 7,420억 × 0.4%</t>
  </si>
  <si>
    <t>★ finance-architect 확정</t>
  </si>
  <si>
    <t>취급수수료(브릿지 10.4 + Tr.A 44.9 + Tr.B 34.5 + Tr.C 20.7)</t>
  </si>
  <si>
    <t>트랜치별 2.0/1.0/2.0/3.0%</t>
  </si>
  <si>
    <t>미인출수수료</t>
  </si>
  <si>
    <t>Tr.A 미인출 평잔 1,300억 × 0.5%/년 × 4년</t>
  </si>
  <si>
    <t>대리금융기관·자산관리수수료</t>
  </si>
  <si>
    <t>연 3억 × 6년</t>
  </si>
  <si>
    <t>PF이자 (현금부족 기반 자동산출)</t>
  </si>
  <si>
    <t>02_현금흐름 이자 합계 (자동 연결)</t>
  </si>
  <si>
    <t>엔진 자동 — 브릿지 약정유지분 미포함</t>
  </si>
  <si>
    <t>브릿지 약정유지 이자 조정</t>
  </si>
  <si>
    <t>브릿지 520억 × 12.0% × M49~M126 약정 유지 — 현금부족 기반 자동산출분과의 차액 (finance-architect §7-2)</t>
  </si>
  <si>
    <t>★ finance-architect 확정 (이자 합계 1,485억)</t>
  </si>
  <si>
    <t>금융비용 소계</t>
  </si>
  <si>
    <t>지출 총계</t>
  </si>
  <si>
    <t>자금집행 균형 검증</t>
  </si>
  <si>
    <t>■ 사업이익</t>
  </si>
  <si>
    <t>사업이익</t>
  </si>
  <si>
    <t>사업이익률 (이익/수입)</t>
  </si>
  <si>
    <t>Profit on Cost (이익/총사업비)</t>
  </si>
  <si>
    <t>파주 축현리 도시개발사업 — 월별 현금흐름</t>
  </si>
  <si>
    <t>총액</t>
  </si>
  <si>
    <t>1개월차</t>
  </si>
  <si>
    <t>2개월차</t>
  </si>
  <si>
    <t>3개월차</t>
  </si>
  <si>
    <t>4개월차</t>
  </si>
  <si>
    <t>5개월차</t>
  </si>
  <si>
    <t>6개월차</t>
  </si>
  <si>
    <t>7개월차</t>
  </si>
  <si>
    <t>8개월차</t>
  </si>
  <si>
    <t>9개월차</t>
  </si>
  <si>
    <t>10개월차</t>
  </si>
  <si>
    <t>11개월차</t>
  </si>
  <si>
    <t>12개월차</t>
  </si>
  <si>
    <t>13개월차</t>
  </si>
  <si>
    <t>14개월차</t>
  </si>
  <si>
    <t>15개월차</t>
  </si>
  <si>
    <t>16개월차</t>
  </si>
  <si>
    <t>17개월차</t>
  </si>
  <si>
    <t>18개월차</t>
  </si>
  <si>
    <t>19개월차</t>
  </si>
  <si>
    <t>20개월차</t>
  </si>
  <si>
    <t>21개월차</t>
  </si>
  <si>
    <t>22개월차</t>
  </si>
  <si>
    <t>23개월차</t>
  </si>
  <si>
    <t>24개월차</t>
  </si>
  <si>
    <t>25개월차</t>
  </si>
  <si>
    <t>26개월차</t>
  </si>
  <si>
    <t>27개월차</t>
  </si>
  <si>
    <t>28개월차</t>
  </si>
  <si>
    <t>29개월차</t>
  </si>
  <si>
    <t>30개월차</t>
  </si>
  <si>
    <t>31개월차</t>
  </si>
  <si>
    <t>32개월차</t>
  </si>
  <si>
    <t>33개월차</t>
  </si>
  <si>
    <t>34개월차</t>
  </si>
  <si>
    <t>35개월차</t>
  </si>
  <si>
    <t>36개월차</t>
  </si>
  <si>
    <t>37개월차</t>
  </si>
  <si>
    <t>38개월차</t>
  </si>
  <si>
    <t>39개월차</t>
  </si>
  <si>
    <t>40개월차</t>
  </si>
  <si>
    <t>41개월차</t>
  </si>
  <si>
    <t>42개월차</t>
  </si>
  <si>
    <t>43개월차</t>
  </si>
  <si>
    <t>44개월차</t>
  </si>
  <si>
    <t>45개월차</t>
  </si>
  <si>
    <t>46개월차</t>
  </si>
  <si>
    <t>47개월차</t>
  </si>
  <si>
    <t>48개월차</t>
  </si>
  <si>
    <t>49개월차</t>
  </si>
  <si>
    <t>50개월차</t>
  </si>
  <si>
    <t>51개월차</t>
  </si>
  <si>
    <t>52개월차</t>
  </si>
  <si>
    <t>53개월차</t>
  </si>
  <si>
    <t>54개월차</t>
  </si>
  <si>
    <t>55개월차</t>
  </si>
  <si>
    <t>56개월차</t>
  </si>
  <si>
    <t>57개월차</t>
  </si>
  <si>
    <t>58개월차</t>
  </si>
  <si>
    <t>59개월차</t>
  </si>
  <si>
    <t>60개월차</t>
  </si>
  <si>
    <t>61개월차</t>
  </si>
  <si>
    <t>62개월차</t>
  </si>
  <si>
    <t>63개월차</t>
  </si>
  <si>
    <t>64개월차</t>
  </si>
  <si>
    <t>65개월차</t>
  </si>
  <si>
    <t>66개월차</t>
  </si>
  <si>
    <t>67개월차</t>
  </si>
  <si>
    <t>68개월차</t>
  </si>
  <si>
    <t>69개월차</t>
  </si>
  <si>
    <t>70개월차</t>
  </si>
  <si>
    <t>71개월차</t>
  </si>
  <si>
    <t>72개월차</t>
  </si>
  <si>
    <t>73개월차</t>
  </si>
  <si>
    <t>74개월차</t>
  </si>
  <si>
    <t>75개월차</t>
  </si>
  <si>
    <t>76개월차</t>
  </si>
  <si>
    <t>77개월차</t>
  </si>
  <si>
    <t>78개월차</t>
  </si>
  <si>
    <t>79개월차</t>
  </si>
  <si>
    <t>80개월차</t>
  </si>
  <si>
    <t>81개월차</t>
  </si>
  <si>
    <t>82개월차</t>
  </si>
  <si>
    <t>83개월차</t>
  </si>
  <si>
    <t>84개월차</t>
  </si>
  <si>
    <t>85개월차</t>
  </si>
  <si>
    <t>86개월차</t>
  </si>
  <si>
    <t>87개월차</t>
  </si>
  <si>
    <t>88개월차</t>
  </si>
  <si>
    <t>89개월차</t>
  </si>
  <si>
    <t>90개월차</t>
  </si>
  <si>
    <t>91개월차</t>
  </si>
  <si>
    <t>92개월차</t>
  </si>
  <si>
    <t>93개월차</t>
  </si>
  <si>
    <t>94개월차</t>
  </si>
  <si>
    <t>95개월차</t>
  </si>
  <si>
    <t>96개월차</t>
  </si>
  <si>
    <t>97개월차</t>
  </si>
  <si>
    <t>98개월차</t>
  </si>
  <si>
    <t>99개월차</t>
  </si>
  <si>
    <t>100개월차</t>
  </si>
  <si>
    <t>101개월차</t>
  </si>
  <si>
    <t>102개월차</t>
  </si>
  <si>
    <t>103개월차</t>
  </si>
  <si>
    <t>104개월차</t>
  </si>
  <si>
    <t>105개월차</t>
  </si>
  <si>
    <t>106개월차</t>
  </si>
  <si>
    <t>107개월차</t>
  </si>
  <si>
    <t>108개월차</t>
  </si>
  <si>
    <t>109개월차</t>
  </si>
  <si>
    <t>110개월차</t>
  </si>
  <si>
    <t>111개월차</t>
  </si>
  <si>
    <t>112개월차</t>
  </si>
  <si>
    <t>113개월차</t>
  </si>
  <si>
    <t>114개월차</t>
  </si>
  <si>
    <t>115개월차</t>
  </si>
  <si>
    <t>116개월차</t>
  </si>
  <si>
    <t>117개월차</t>
  </si>
  <si>
    <t>118개월차</t>
  </si>
  <si>
    <t>119개월차</t>
  </si>
  <si>
    <t>120개월차</t>
  </si>
  <si>
    <t>121개월차</t>
  </si>
  <si>
    <t>122개월차</t>
  </si>
  <si>
    <t>123개월차</t>
  </si>
  <si>
    <t>124개월차</t>
  </si>
  <si>
    <t>125개월차</t>
  </si>
  <si>
    <t>126개월차</t>
  </si>
  <si>
    <t>Total</t>
  </si>
  <si>
    <t>검증</t>
  </si>
  <si>
    <t>진행률 드라이버</t>
  </si>
  <si>
    <t>공정률</t>
  </si>
  <si>
    <t>공정률 누계</t>
  </si>
  <si>
    <t>분양률</t>
  </si>
  <si>
    <t>분양률 누계</t>
  </si>
  <si>
    <t>수입</t>
  </si>
  <si>
    <t>계약금</t>
  </si>
  <si>
    <t>중도금 1차</t>
  </si>
  <si>
    <t>중도금 2차</t>
  </si>
  <si>
    <t>중도금 3차</t>
  </si>
  <si>
    <t>중도금 4차</t>
  </si>
  <si>
    <t>중도금 5차</t>
  </si>
  <si>
    <t>중도금 6차</t>
  </si>
  <si>
    <t>잔금</t>
  </si>
  <si>
    <t>수입 계</t>
  </si>
  <si>
    <t>지출</t>
  </si>
  <si>
    <t>사업비 지출 계 (금융비 제외)</t>
  </si>
  <si>
    <t>자금조달</t>
  </si>
  <si>
    <t>기초 PF잔액</t>
  </si>
  <si>
    <t>이자 (전월잔액×금리/12)</t>
  </si>
  <si>
    <t>상환 (적립계좌 재원)</t>
  </si>
  <si>
    <t>인출 (부족액 자동) / Total열=피크 인출</t>
  </si>
  <si>
    <t>기말 PF잔액</t>
  </si>
  <si>
    <t>현금 잔액</t>
  </si>
  <si>
    <t>★ 피크자금 소요 (PF잔액 최대)</t>
  </si>
  <si>
    <t>현금 최저점 (음수면 조달 부족)</t>
  </si>
  <si>
    <t>PF 한도 초과 여부</t>
  </si>
  <si>
    <t>총 금융비용 (이자 합계)</t>
  </si>
  <si>
    <t>민감도 분석</t>
  </si>
  <si>
    <t>기준 사업이익</t>
  </si>
  <si>
    <t>■ 분양가 × 공사비 민감도 (사업이익, 천원)</t>
  </si>
  <si>
    <t>분양가 \ 공사비</t>
  </si>
  <si>
    <t>-10%</t>
  </si>
  <si>
    <t>+0%</t>
  </si>
  <si>
    <t>+10%</t>
  </si>
  <si>
    <t>+20%</t>
  </si>
  <si>
    <t>분양가 +10%</t>
  </si>
  <si>
    <t>분양가 +0%</t>
  </si>
  <si>
    <t>분양가 -10%</t>
  </si>
  <si>
    <t>■ 손익분기</t>
  </si>
  <si>
    <t>손익분기 분양률</t>
  </si>
  <si>
    <t>총사업비 ÷ 총수입 — 이 비율만큼 팔려야 본전</t>
  </si>
  <si>
    <t>손익분기 평당 분양가</t>
  </si>
  <si>
    <t>■ 분양률 민감도 (회수 기준 사업이익, 천원)</t>
  </si>
  <si>
    <t>100%</t>
  </si>
  <si>
    <t>90%</t>
  </si>
  <si>
    <t>80%</t>
  </si>
  <si>
    <t>70%</t>
  </si>
  <si>
    <t>회수 수입</t>
  </si>
  <si>
    <t>※ 공사비 단가가 [가정]이면 ±20% 구간을 반드시 검토하십시오.</t>
  </si>
  <si>
    <t>※ 금리 민감도는 별도 표를 두지 않습니다. 00_입력 시트의 금리 셀을 바꾸면 02_현금흐름의 이자·PF잔액과 01_사업수지의 사업이익이 전부 재계산됩니다.</t>
  </si>
  <si>
    <t>※ 분양률 민감도는 총액 기준 근사입니다. 회수 시점 변화는 02_현금흐름의 분양률 배열을 수정해 확인하십시오.</t>
  </si>
  <si>
    <t>파주 축현리 도시개발사업 — 요약</t>
  </si>
  <si>
    <t>총 사업기간(개월)</t>
  </si>
  <si>
    <t>지연 버퍼 포함</t>
  </si>
  <si>
    <t>사업이익률</t>
  </si>
  <si>
    <t>총 금융비용</t>
  </si>
  <si>
    <t>월별 이자 합계</t>
  </si>
  <si>
    <t>피크자금 소요</t>
  </si>
  <si>
    <t>PF 잔액 최대치</t>
  </si>
  <si>
    <t>현금 최저점</t>
  </si>
  <si>
    <t>음수면 조달 부족</t>
  </si>
  <si>
    <t>이 비율만큼 팔려야 본전</t>
  </si>
  <si>
    <t>LTV (대출한도/수입총계)</t>
  </si>
  <si>
    <t>LTC (대출한도/총사업비)</t>
  </si>
  <si>
    <t>정합성 검증</t>
  </si>
  <si>
    <t>검증 항목</t>
  </si>
  <si>
    <t>결과</t>
  </si>
  <si>
    <t>설명</t>
  </si>
  <si>
    <t>자금집행 균형 (예산=기투입+필수+분양불+준공후불)</t>
  </si>
  <si>
    <t>불일치면 배분율 확인</t>
  </si>
  <si>
    <t>사업이익 부호</t>
  </si>
  <si>
    <t>적자면 재검토 판정 필요</t>
  </si>
  <si>
    <t>현금 부족 발생 여부</t>
  </si>
  <si>
    <t>부족 시 추가 조달 방안 필수</t>
  </si>
  <si>
    <t>PF 한도 내 조달 가능</t>
  </si>
  <si>
    <t>초과 시 한도 증액 또는 자기자본 추가 필요</t>
  </si>
  <si>
    <t>손익분기 분양률 &lt; 100%</t>
  </si>
  <si>
    <t>100% 이상이면 팔아도 원가 회수 불가</t>
  </si>
  <si>
    <t>수지표 수입 = 현금흐름 회수액</t>
  </si>
  <si>
    <t>사업기간 내 분양이 다 안 되면 수지표 수입은 과대</t>
  </si>
  <si>
    <t>※ 02_현금흐름 시트의 '검증' 열에 '불일치'가 있으면 배분 로직을 점검하십시오.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</si>
</sst>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맑은 고딕"/>
      <family val="2"/>
      <scheme val="minor"/>
    </font>
    <font>
      <b/>
      <sz val="14"/>
      <color rgb="FF1F3864"/>
      <name val="맑은 고딕"/>
      <family val="3"/>
      <charset val="129"/>
    </font>
    <font>
      <b/>
      <sz val="1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10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name val="Pretendard"/>
      <family val="3"/>
      <charset val="129"/>
    </font>
    <font>
      <b/>
      <sz val="10"/>
      <color rgb="FFFFFFFF"/>
      <name val="Pretendard"/>
      <family val="3"/>
      <charset val="129"/>
    </font>
    <font>
      <b/>
      <sz val="10"/>
      <color rgb="FF1F3864"/>
      <name val="Pretendard"/>
      <family val="3"/>
      <charset val="129"/>
    </font>
    <font>
      <sz val="10"/>
      <color theme="1"/>
      <name val="Pretendard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>
      <alignment vertical="center"/>
    </xf>
  </cellStyleXfs>
  <cellXfs count="55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2" borderId="1" xfId="0" applyFill="1" applyBorder="1"/>
    <xf numFmtId="0" fontId="3" fillId="3" borderId="1" xfId="0" applyFont="1" applyFill="1" applyBorder="1" applyAlignment="1">
      <alignment horizontal="center" vertical="center"/>
    </xf>
    <xf numFmtId="0" fontId="4" fillId="0" borderId="1" xfId="0" applyFont="1" applyBorder="1"/>
    <xf numFmtId="0" fontId="0" fillId="4" borderId="1" xfId="0" applyFill="1" applyBorder="1"/>
    <xf numFmtId="0" fontId="0" fillId="0" borderId="1" xfId="0" applyBorder="1"/>
    <xf numFmtId="3" fontId="0" fillId="4" borderId="1" xfId="0" applyNumberFormat="1" applyFill="1" applyBorder="1"/>
    <xf numFmtId="3" fontId="0" fillId="0" borderId="1" xfId="0" applyNumberFormat="1" applyBorder="1"/>
    <xf numFmtId="0" fontId="2" fillId="0" borderId="1" xfId="0" applyFont="1" applyBorder="1"/>
    <xf numFmtId="10" fontId="0" fillId="4" borderId="1" xfId="0" applyNumberFormat="1" applyFill="1" applyBorder="1"/>
    <xf numFmtId="1" fontId="0" fillId="4" borderId="1" xfId="0" applyNumberFormat="1" applyFill="1" applyBorder="1"/>
    <xf numFmtId="0" fontId="4" fillId="0" borderId="0" xfId="0" applyFont="1"/>
    <xf numFmtId="10" fontId="0" fillId="0" borderId="1" xfId="0" applyNumberFormat="1" applyBorder="1"/>
    <xf numFmtId="0" fontId="2" fillId="0" borderId="0" xfId="0" applyFont="1"/>
    <xf numFmtId="3" fontId="0" fillId="0" borderId="0" xfId="0" applyNumberFormat="1"/>
    <xf numFmtId="10" fontId="0" fillId="0" borderId="0" xfId="0" applyNumberFormat="1"/>
    <xf numFmtId="1" fontId="0" fillId="0" borderId="1" xfId="0" applyNumberFormat="1" applyBorder="1"/>
    <xf numFmtId="0" fontId="0" fillId="5" borderId="1" xfId="0" applyFill="1" applyBorder="1"/>
    <xf numFmtId="10" fontId="0" fillId="4" borderId="1" xfId="1" applyNumberFormat="1" applyFont="1" applyFill="1" applyBorder="1" applyAlignment="1"/>
    <xf numFmtId="0" fontId="0" fillId="0" borderId="0" xfId="0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3" fillId="3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7" fillId="2" borderId="1" xfId="0" applyFont="1" applyFill="1" applyBorder="1"/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top" wrapText="1"/>
    </xf>
    <xf numFmtId="0" fontId="7" fillId="0" borderId="0" xfId="0" applyFont="1" applyAlignment="1">
      <alignment vertical="top" wrapText="1"/>
    </xf>
    <xf numFmtId="0" fontId="7" fillId="0" borderId="1" xfId="0" applyFont="1" applyBorder="1" applyAlignment="1">
      <alignment vertical="top" wrapText="1"/>
    </xf>
    <xf numFmtId="3" fontId="7" fillId="0" borderId="1" xfId="0" applyNumberFormat="1" applyFont="1" applyBorder="1"/>
    <xf numFmtId="10" fontId="7" fillId="0" borderId="1" xfId="0" applyNumberFormat="1" applyFont="1" applyBorder="1"/>
    <xf numFmtId="0" fontId="9" fillId="0" borderId="0" xfId="0" applyFont="1"/>
    <xf numFmtId="0" fontId="10" fillId="0" borderId="0" xfId="0" applyFont="1" applyAlignment="1">
      <alignment vertical="top" wrapText="1"/>
    </xf>
    <xf numFmtId="0" fontId="10" fillId="0" borderId="0" xfId="0" applyFont="1"/>
    <xf numFmtId="0" fontId="10" fillId="2" borderId="1" xfId="0" applyFont="1" applyFill="1" applyBorder="1" applyAlignment="1">
      <alignment vertical="top" wrapText="1"/>
    </xf>
    <xf numFmtId="0" fontId="10" fillId="2" borderId="1" xfId="0" applyFont="1" applyFill="1" applyBorder="1"/>
    <xf numFmtId="0" fontId="10" fillId="0" borderId="1" xfId="0" applyFont="1" applyBorder="1"/>
    <xf numFmtId="0" fontId="10" fillId="0" borderId="1" xfId="0" applyFont="1" applyBorder="1" applyAlignment="1">
      <alignment vertical="top" wrapText="1"/>
    </xf>
    <xf numFmtId="3" fontId="10" fillId="0" borderId="1" xfId="0" applyNumberFormat="1" applyFont="1" applyBorder="1" applyAlignment="1">
      <alignment vertical="top" wrapText="1"/>
    </xf>
    <xf numFmtId="3" fontId="10" fillId="0" borderId="1" xfId="0" applyNumberFormat="1" applyFont="1" applyBorder="1"/>
    <xf numFmtId="10" fontId="10" fillId="0" borderId="1" xfId="0" applyNumberFormat="1" applyFont="1" applyBorder="1"/>
    <xf numFmtId="3" fontId="10" fillId="0" borderId="0" xfId="0" applyNumberFormat="1" applyFont="1" applyAlignment="1">
      <alignment vertical="top" wrapText="1"/>
    </xf>
    <xf numFmtId="3" fontId="10" fillId="0" borderId="0" xfId="0" applyNumberFormat="1" applyFont="1"/>
    <xf numFmtId="0" fontId="10" fillId="5" borderId="0" xfId="0" applyFont="1" applyFill="1"/>
    <xf numFmtId="0" fontId="8" fillId="3" borderId="0" xfId="0" applyFont="1" applyFill="1" applyAlignment="1">
      <alignment vertical="top" wrapText="1"/>
    </xf>
    <xf numFmtId="0" fontId="8" fillId="3" borderId="0" xfId="0" applyFont="1" applyFill="1" applyAlignment="1">
      <alignment horizontal="center" vertical="top" wrapText="1"/>
    </xf>
    <xf numFmtId="3" fontId="7" fillId="0" borderId="0" xfId="0" applyNumberFormat="1" applyFont="1" applyAlignment="1">
      <alignment vertical="top" wrapText="1"/>
    </xf>
    <xf numFmtId="0" fontId="9" fillId="0" borderId="0" xfId="0" applyFont="1" applyAlignment="1">
      <alignment vertical="top" wrapText="1"/>
    </xf>
    <xf numFmtId="10" fontId="10" fillId="4" borderId="0" xfId="0" applyNumberFormat="1" applyFont="1" applyFill="1" applyAlignment="1">
      <alignment vertical="top" wrapText="1"/>
    </xf>
    <xf numFmtId="10" fontId="10" fillId="0" borderId="0" xfId="0" applyNumberFormat="1" applyFont="1" applyAlignment="1">
      <alignment vertical="top" wrapText="1"/>
    </xf>
    <xf numFmtId="0" fontId="10" fillId="5" borderId="0" xfId="0" applyFont="1" applyFill="1" applyAlignment="1">
      <alignment vertical="top" wrapText="1"/>
    </xf>
    <xf numFmtId="0" fontId="4" fillId="0" borderId="1" xfId="0" applyFont="1" applyBorder="1" applyAlignment="1">
      <alignment vertical="top" wrapText="1"/>
    </xf>
    <xf numFmtId="3" fontId="10" fillId="6" borderId="1" xfId="0" applyNumberFormat="1" applyFont="1" applyFill="1" applyBorder="1"/>
  </cellXfs>
  <cellStyles count="2">
    <cellStyle name="백분율" xfId="1" builtinId="5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"/>
  <sheetViews>
    <sheetView topLeftCell="A15" workbookViewId="0">
      <selection activeCell="C11" sqref="C11"/>
    </sheetView>
  </sheetViews>
  <sheetFormatPr defaultRowHeight="16.5"/>
  <cols>
    <col min="1" max="1" width="22" customWidth="1"/>
    <col min="2" max="2" width="38.875" style="21" customWidth="1"/>
    <col min="3" max="3" width="44" bestFit="1" customWidth="1"/>
    <col min="4" max="4" width="12" customWidth="1"/>
    <col min="5" max="5" width="40" customWidth="1"/>
  </cols>
  <sheetData>
    <row r="1" spans="1:8" ht="20.25">
      <c r="A1" s="1" t="s">
        <v>0</v>
      </c>
    </row>
    <row r="3" spans="1:8">
      <c r="A3" s="2" t="s">
        <v>1</v>
      </c>
      <c r="B3" s="22"/>
      <c r="C3" s="3"/>
      <c r="D3" s="3"/>
      <c r="E3" s="3"/>
      <c r="F3" s="3"/>
      <c r="G3" s="3"/>
      <c r="H3" s="3"/>
    </row>
    <row r="4" spans="1:8">
      <c r="A4" s="4" t="s">
        <v>2</v>
      </c>
      <c r="B4" s="23" t="s">
        <v>3</v>
      </c>
      <c r="C4" s="4" t="s">
        <v>4</v>
      </c>
      <c r="D4" s="4" t="s">
        <v>5</v>
      </c>
      <c r="E4" s="4" t="s">
        <v>6</v>
      </c>
    </row>
    <row r="5" spans="1:8">
      <c r="A5" s="5" t="s">
        <v>7</v>
      </c>
      <c r="B5" s="53" t="s">
        <v>8</v>
      </c>
      <c r="C5" s="6" t="s">
        <v>9</v>
      </c>
      <c r="D5" s="7"/>
      <c r="E5" s="5" t="s">
        <v>10</v>
      </c>
    </row>
    <row r="6" spans="1:8">
      <c r="A6" s="5"/>
      <c r="B6" s="53" t="s">
        <v>11</v>
      </c>
      <c r="C6" s="6" t="s">
        <v>12</v>
      </c>
      <c r="D6" s="7"/>
      <c r="E6" s="5" t="s">
        <v>13</v>
      </c>
    </row>
    <row r="7" spans="1:8">
      <c r="A7" s="5" t="s">
        <v>14</v>
      </c>
      <c r="B7" s="53" t="s">
        <v>15</v>
      </c>
      <c r="C7" s="8">
        <v>127181</v>
      </c>
      <c r="D7" s="7" t="s">
        <v>16</v>
      </c>
      <c r="E7" s="5"/>
    </row>
    <row r="8" spans="1:8">
      <c r="A8" s="5"/>
      <c r="B8" s="53" t="s">
        <v>17</v>
      </c>
      <c r="C8" s="9">
        <f>C7*0.3025</f>
        <v>38472.252500000002</v>
      </c>
      <c r="D8" s="7" t="s">
        <v>18</v>
      </c>
      <c r="E8" s="5" t="s">
        <v>19</v>
      </c>
    </row>
    <row r="9" spans="1:8">
      <c r="A9" s="5"/>
      <c r="B9" s="53" t="s">
        <v>20</v>
      </c>
      <c r="C9" s="8">
        <v>274339.68</v>
      </c>
      <c r="D9" s="7" t="s">
        <v>16</v>
      </c>
      <c r="E9" s="5"/>
    </row>
    <row r="10" spans="1:8">
      <c r="A10" s="5"/>
      <c r="B10" s="53" t="s">
        <v>21</v>
      </c>
      <c r="C10" s="9">
        <f>C9*0.3025</f>
        <v>82987.753199999992</v>
      </c>
      <c r="D10" s="7" t="s">
        <v>18</v>
      </c>
      <c r="E10" s="5" t="s">
        <v>19</v>
      </c>
    </row>
    <row r="11" spans="1:8">
      <c r="A11" s="5"/>
      <c r="B11" s="53" t="s">
        <v>22</v>
      </c>
      <c r="C11" s="8">
        <v>132349.85</v>
      </c>
      <c r="D11" s="7" t="s">
        <v>16</v>
      </c>
      <c r="E11" s="5"/>
    </row>
    <row r="12" spans="1:8">
      <c r="A12" s="5"/>
      <c r="B12" s="53" t="s">
        <v>23</v>
      </c>
      <c r="C12" s="9">
        <f>(C9+C11)*0.3025</f>
        <v>123023.582825</v>
      </c>
      <c r="D12" s="7" t="s">
        <v>18</v>
      </c>
      <c r="E12" s="5" t="s">
        <v>24</v>
      </c>
    </row>
    <row r="13" spans="1:8">
      <c r="A13" s="5"/>
      <c r="B13" s="53" t="s">
        <v>25</v>
      </c>
      <c r="C13" s="20">
        <v>0.22370000000000001</v>
      </c>
      <c r="D13" s="7"/>
      <c r="E13" s="5"/>
    </row>
    <row r="14" spans="1:8">
      <c r="A14" s="5"/>
      <c r="B14" s="53" t="s">
        <v>26</v>
      </c>
      <c r="C14" s="20">
        <v>2.1570999999999998</v>
      </c>
      <c r="D14" s="7"/>
      <c r="E14" s="5"/>
    </row>
    <row r="15" spans="1:8">
      <c r="A15" s="5"/>
      <c r="B15" s="53" t="s">
        <v>27</v>
      </c>
      <c r="C15" s="8">
        <v>2495</v>
      </c>
      <c r="D15" s="7" t="s">
        <v>28</v>
      </c>
      <c r="E15" s="5"/>
    </row>
    <row r="16" spans="1:8">
      <c r="A16" s="5"/>
      <c r="B16" s="53" t="s">
        <v>29</v>
      </c>
      <c r="C16" s="8">
        <v>3617</v>
      </c>
      <c r="D16" s="7" t="s">
        <v>30</v>
      </c>
      <c r="E16" s="5"/>
    </row>
    <row r="18" spans="1:8">
      <c r="A18" s="2" t="s">
        <v>31</v>
      </c>
      <c r="B18" s="22"/>
      <c r="C18" s="3"/>
      <c r="D18" s="3"/>
      <c r="E18" s="3"/>
      <c r="F18" s="3"/>
      <c r="G18" s="3"/>
      <c r="H18" s="3"/>
    </row>
    <row r="19" spans="1:8">
      <c r="A19" s="4" t="s">
        <v>2</v>
      </c>
      <c r="B19" s="23" t="s">
        <v>3</v>
      </c>
      <c r="C19" s="4" t="s">
        <v>4</v>
      </c>
      <c r="D19" s="4" t="s">
        <v>5</v>
      </c>
      <c r="E19" s="4" t="s">
        <v>6</v>
      </c>
    </row>
    <row r="20" spans="1:8">
      <c r="A20" s="7" t="s">
        <v>32</v>
      </c>
      <c r="B20" s="24" t="s">
        <v>33</v>
      </c>
      <c r="C20" s="6">
        <v>57</v>
      </c>
      <c r="D20" s="7" t="s">
        <v>34</v>
      </c>
      <c r="E20" s="5" t="s">
        <v>35</v>
      </c>
    </row>
    <row r="21" spans="1:8">
      <c r="A21" s="7"/>
      <c r="B21" s="24" t="s">
        <v>36</v>
      </c>
      <c r="C21" s="6">
        <v>54</v>
      </c>
      <c r="D21" s="7" t="s">
        <v>34</v>
      </c>
      <c r="E21" s="5"/>
    </row>
    <row r="22" spans="1:8">
      <c r="A22" s="7"/>
      <c r="B22" s="24" t="s">
        <v>37</v>
      </c>
      <c r="C22" s="6">
        <v>6</v>
      </c>
      <c r="D22" s="7" t="s">
        <v>34</v>
      </c>
      <c r="E22" s="5"/>
    </row>
    <row r="23" spans="1:8">
      <c r="A23" s="7"/>
      <c r="B23" s="24" t="s">
        <v>38</v>
      </c>
      <c r="C23" s="6">
        <v>9</v>
      </c>
      <c r="D23" s="7" t="s">
        <v>34</v>
      </c>
      <c r="E23" s="5" t="s">
        <v>39</v>
      </c>
    </row>
    <row r="24" spans="1:8">
      <c r="A24" s="7"/>
      <c r="B24" s="25" t="s">
        <v>40</v>
      </c>
      <c r="C24" s="10">
        <f>SUM(C20:C23)</f>
        <v>126</v>
      </c>
      <c r="D24" s="7" t="s">
        <v>34</v>
      </c>
      <c r="E24" s="7"/>
    </row>
    <row r="26" spans="1:8">
      <c r="A26" s="2" t="s">
        <v>41</v>
      </c>
      <c r="B26" s="22"/>
      <c r="C26" s="3"/>
      <c r="D26" s="3"/>
      <c r="E26" s="3"/>
      <c r="F26" s="3"/>
      <c r="G26" s="3"/>
      <c r="H26" s="3"/>
    </row>
    <row r="27" spans="1:8">
      <c r="A27" s="4" t="s">
        <v>2</v>
      </c>
      <c r="B27" s="23" t="s">
        <v>3</v>
      </c>
      <c r="C27" s="4" t="s">
        <v>4</v>
      </c>
      <c r="D27" s="4" t="s">
        <v>5</v>
      </c>
      <c r="E27" s="4" t="s">
        <v>6</v>
      </c>
    </row>
    <row r="28" spans="1:8">
      <c r="A28" s="7"/>
      <c r="B28" s="24" t="s">
        <v>42</v>
      </c>
      <c r="C28" s="8">
        <v>346100000</v>
      </c>
      <c r="D28" s="7" t="s">
        <v>43</v>
      </c>
      <c r="E28" s="7"/>
    </row>
    <row r="29" spans="1:8" ht="33">
      <c r="A29" s="7"/>
      <c r="B29" s="24" t="s">
        <v>44</v>
      </c>
      <c r="C29" s="8">
        <v>690000000</v>
      </c>
      <c r="D29" s="7" t="s">
        <v>43</v>
      </c>
      <c r="E29" s="7"/>
    </row>
    <row r="30" spans="1:8" ht="33">
      <c r="A30" s="7"/>
      <c r="B30" s="24" t="s">
        <v>45</v>
      </c>
      <c r="C30" s="11">
        <v>8.3500000000000005E-2</v>
      </c>
      <c r="D30" s="7"/>
      <c r="E30" s="7"/>
    </row>
    <row r="31" spans="1:8" ht="33">
      <c r="A31" s="7"/>
      <c r="B31" s="24" t="s">
        <v>46</v>
      </c>
      <c r="C31" s="11">
        <v>1.46E-2</v>
      </c>
      <c r="D31" s="7"/>
      <c r="E31" s="7"/>
    </row>
    <row r="32" spans="1:8">
      <c r="A32" s="7"/>
      <c r="B32" s="24" t="s">
        <v>47</v>
      </c>
      <c r="C32" s="8">
        <v>52000000</v>
      </c>
      <c r="D32" s="7" t="s">
        <v>43</v>
      </c>
      <c r="E32" s="7"/>
    </row>
    <row r="33" spans="1:8">
      <c r="A33" s="7"/>
      <c r="B33" s="24" t="s">
        <v>48</v>
      </c>
      <c r="C33" s="11">
        <v>0.12</v>
      </c>
      <c r="D33" s="7"/>
      <c r="E33" s="7"/>
    </row>
    <row r="34" spans="1:8">
      <c r="A34" s="7"/>
      <c r="B34" s="24" t="s">
        <v>49</v>
      </c>
      <c r="C34" s="11">
        <v>0.02</v>
      </c>
      <c r="D34" s="7"/>
      <c r="E34" s="7"/>
    </row>
    <row r="36" spans="1:8">
      <c r="A36" s="2" t="s">
        <v>50</v>
      </c>
      <c r="B36" s="22"/>
      <c r="C36" s="3"/>
      <c r="D36" s="3"/>
      <c r="E36" s="3"/>
      <c r="F36" s="3"/>
      <c r="G36" s="3"/>
      <c r="H36" s="3"/>
    </row>
    <row r="37" spans="1:8">
      <c r="A37" s="4" t="s">
        <v>2</v>
      </c>
      <c r="B37" s="23" t="s">
        <v>3</v>
      </c>
      <c r="C37" s="4" t="s">
        <v>4</v>
      </c>
      <c r="D37" s="4" t="s">
        <v>5</v>
      </c>
      <c r="E37" s="4" t="s">
        <v>6</v>
      </c>
    </row>
    <row r="38" spans="1:8">
      <c r="A38" s="7"/>
      <c r="B38" s="24" t="s">
        <v>51</v>
      </c>
      <c r="C38" s="11">
        <v>0.1</v>
      </c>
      <c r="D38" s="7"/>
      <c r="E38" s="5"/>
    </row>
    <row r="39" spans="1:8">
      <c r="A39" s="7"/>
      <c r="B39" s="24" t="s">
        <v>52</v>
      </c>
      <c r="C39" s="12">
        <v>6</v>
      </c>
      <c r="D39" s="7"/>
      <c r="E39" s="5" t="s">
        <v>53</v>
      </c>
    </row>
    <row r="40" spans="1:8">
      <c r="A40" s="7"/>
      <c r="B40" s="24" t="s">
        <v>54</v>
      </c>
      <c r="C40" s="11">
        <v>0.1</v>
      </c>
      <c r="D40" s="7"/>
      <c r="E40" s="5"/>
    </row>
    <row r="41" spans="1:8">
      <c r="A41" s="7"/>
      <c r="B41" s="24" t="s">
        <v>55</v>
      </c>
      <c r="C41" s="11">
        <v>0.3</v>
      </c>
      <c r="D41" s="7"/>
      <c r="E41" s="5"/>
    </row>
    <row r="42" spans="1:8">
      <c r="A42" s="7"/>
      <c r="B42" s="24" t="s">
        <v>56</v>
      </c>
      <c r="C42" s="11">
        <v>1</v>
      </c>
      <c r="D42" s="7"/>
      <c r="E42" s="5" t="s">
        <v>57</v>
      </c>
    </row>
    <row r="43" spans="1:8">
      <c r="A43" s="7"/>
      <c r="B43" s="24" t="s">
        <v>58</v>
      </c>
      <c r="C43" s="11">
        <v>1</v>
      </c>
      <c r="D43" s="7"/>
      <c r="E43" s="5"/>
    </row>
    <row r="45" spans="1:8">
      <c r="A45" s="13" t="s">
        <v>59</v>
      </c>
    </row>
  </sheetData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79"/>
  <sheetViews>
    <sheetView tabSelected="1" topLeftCell="A21" workbookViewId="0">
      <selection activeCell="E27" sqref="E27"/>
    </sheetView>
  </sheetViews>
  <sheetFormatPr defaultRowHeight="12.75"/>
  <cols>
    <col min="1" max="1" width="6.5" style="35" customWidth="1"/>
    <col min="2" max="2" width="21.875" style="34" customWidth="1"/>
    <col min="3" max="3" width="37.75" style="34" customWidth="1"/>
    <col min="4" max="4" width="9.75" style="35" bestFit="1" customWidth="1"/>
    <col min="5" max="5" width="14.375" style="35" bestFit="1" customWidth="1"/>
    <col min="6" max="6" width="8.375" style="35" bestFit="1" customWidth="1"/>
    <col min="7" max="7" width="36.875" style="34" customWidth="1"/>
    <col min="8" max="8" width="13" style="35" bestFit="1" customWidth="1"/>
    <col min="9" max="9" width="12.875" style="35" bestFit="1" customWidth="1"/>
    <col min="10" max="10" width="14.625" style="35" bestFit="1" customWidth="1"/>
    <col min="11" max="11" width="12.875" style="35" bestFit="1" customWidth="1"/>
    <col min="12" max="12" width="12.75" style="35" bestFit="1" customWidth="1"/>
    <col min="13" max="16384" width="9" style="35"/>
  </cols>
  <sheetData>
    <row r="1" spans="1:12">
      <c r="A1" s="33" t="s">
        <v>60</v>
      </c>
    </row>
    <row r="2" spans="1:12">
      <c r="A2" s="35" t="s">
        <v>61</v>
      </c>
    </row>
    <row r="4" spans="1:12">
      <c r="A4" s="26" t="s">
        <v>62</v>
      </c>
      <c r="B4" s="36"/>
      <c r="C4" s="36"/>
      <c r="D4" s="37"/>
      <c r="E4" s="37"/>
      <c r="F4" s="37"/>
      <c r="G4" s="36"/>
    </row>
    <row r="5" spans="1:12">
      <c r="A5" s="27" t="s">
        <v>2</v>
      </c>
      <c r="B5" s="28" t="s">
        <v>63</v>
      </c>
      <c r="C5" s="28" t="s">
        <v>64</v>
      </c>
      <c r="D5" s="27" t="s">
        <v>65</v>
      </c>
      <c r="E5" s="27" t="s">
        <v>66</v>
      </c>
      <c r="F5" s="27" t="s">
        <v>67</v>
      </c>
      <c r="G5" s="28" t="s">
        <v>6</v>
      </c>
    </row>
    <row r="6" spans="1:12" ht="25.5">
      <c r="A6" s="38" t="s">
        <v>68</v>
      </c>
      <c r="B6" s="39" t="s">
        <v>69</v>
      </c>
      <c r="C6" s="40">
        <v>11585.1</v>
      </c>
      <c r="D6" s="41">
        <v>13500</v>
      </c>
      <c r="E6" s="41">
        <f>C6*D6</f>
        <v>156398850</v>
      </c>
      <c r="F6" s="42">
        <f>IFERROR(E6/$E$13,0)</f>
        <v>0.14123373632804034</v>
      </c>
      <c r="G6" s="39" t="s">
        <v>70</v>
      </c>
    </row>
    <row r="7" spans="1:12" ht="25.5">
      <c r="A7" s="38" t="s">
        <v>68</v>
      </c>
      <c r="B7" s="39" t="s">
        <v>71</v>
      </c>
      <c r="C7" s="40">
        <v>7331.3</v>
      </c>
      <c r="D7" s="41">
        <v>13500</v>
      </c>
      <c r="E7" s="41">
        <f>C7*D7</f>
        <v>98972550</v>
      </c>
      <c r="F7" s="42">
        <f>IFERROR(E7/$E$13,0)</f>
        <v>8.9375740489228597E-2</v>
      </c>
      <c r="G7" s="39" t="s">
        <v>70</v>
      </c>
    </row>
    <row r="8" spans="1:12" ht="25.5">
      <c r="A8" s="38" t="s">
        <v>68</v>
      </c>
      <c r="B8" s="39" t="s">
        <v>72</v>
      </c>
      <c r="C8" s="40">
        <v>60230.1</v>
      </c>
      <c r="D8" s="41">
        <v>13500</v>
      </c>
      <c r="E8" s="41">
        <f>C8*D8</f>
        <v>813106350</v>
      </c>
      <c r="F8" s="42">
        <f>IFERROR(E8/$E$13,0)</f>
        <v>0.73426401691927579</v>
      </c>
      <c r="G8" s="39" t="s">
        <v>70</v>
      </c>
    </row>
    <row r="9" spans="1:12" ht="25.5">
      <c r="A9" s="38" t="s">
        <v>68</v>
      </c>
      <c r="B9" s="39" t="s">
        <v>73</v>
      </c>
      <c r="C9" s="40">
        <v>2281.5</v>
      </c>
      <c r="D9" s="41">
        <v>13500</v>
      </c>
      <c r="E9" s="41">
        <f>C9*D9</f>
        <v>30800250</v>
      </c>
      <c r="F9" s="42">
        <f>IFERROR(E9/$E$13,0)</f>
        <v>2.7813723613298463E-2</v>
      </c>
      <c r="G9" s="39" t="s">
        <v>70</v>
      </c>
    </row>
    <row r="10" spans="1:12">
      <c r="A10" s="38" t="s">
        <v>74</v>
      </c>
      <c r="B10" s="39" t="s">
        <v>75</v>
      </c>
      <c r="C10" s="40">
        <v>544</v>
      </c>
      <c r="D10" s="41">
        <v>12000</v>
      </c>
      <c r="E10" s="41">
        <f>C10*D10</f>
        <v>6528000</v>
      </c>
      <c r="F10" s="42">
        <f>IFERROR(E10/$E$13,0)</f>
        <v>5.8950166880987129E-3</v>
      </c>
      <c r="G10" s="39" t="s">
        <v>76</v>
      </c>
    </row>
    <row r="11" spans="1:12">
      <c r="B11" s="29" t="s">
        <v>77</v>
      </c>
      <c r="C11" s="43">
        <f>SUM(C6:C10)</f>
        <v>81972</v>
      </c>
      <c r="E11" s="44">
        <f>SUM(E6:E10)</f>
        <v>1105806000</v>
      </c>
    </row>
    <row r="12" spans="1:12">
      <c r="B12" s="34" t="s">
        <v>78</v>
      </c>
      <c r="E12" s="44">
        <v>1570000</v>
      </c>
    </row>
    <row r="13" spans="1:12">
      <c r="A13" s="38"/>
      <c r="B13" s="30" t="s">
        <v>79</v>
      </c>
      <c r="C13" s="39"/>
      <c r="D13" s="38"/>
      <c r="E13" s="31">
        <f>E11+E12</f>
        <v>1107376000</v>
      </c>
      <c r="F13" s="38"/>
      <c r="G13" s="39"/>
    </row>
    <row r="15" spans="1:12">
      <c r="A15" s="26" t="s">
        <v>80</v>
      </c>
      <c r="B15" s="36"/>
      <c r="C15" s="36"/>
      <c r="D15" s="37"/>
      <c r="E15" s="37"/>
      <c r="F15" s="37"/>
      <c r="G15" s="36"/>
      <c r="H15" s="37"/>
      <c r="I15" s="37"/>
      <c r="J15" s="37"/>
      <c r="K15" s="37"/>
      <c r="L15" s="37"/>
    </row>
    <row r="16" spans="1:12">
      <c r="A16" s="27" t="s">
        <v>81</v>
      </c>
      <c r="B16" s="28" t="s">
        <v>3</v>
      </c>
      <c r="C16" s="28" t="s">
        <v>82</v>
      </c>
      <c r="D16" s="27" t="s">
        <v>83</v>
      </c>
      <c r="E16" s="27" t="s">
        <v>84</v>
      </c>
      <c r="F16" s="27" t="s">
        <v>67</v>
      </c>
      <c r="G16" s="28" t="s">
        <v>85</v>
      </c>
      <c r="H16" s="27" t="s">
        <v>86</v>
      </c>
      <c r="I16" s="27" t="s">
        <v>87</v>
      </c>
      <c r="J16" s="27" t="s">
        <v>88</v>
      </c>
      <c r="K16" s="27" t="s">
        <v>89</v>
      </c>
      <c r="L16" s="27" t="s">
        <v>90</v>
      </c>
    </row>
    <row r="17" spans="1:12">
      <c r="A17" s="38" t="s">
        <v>91</v>
      </c>
      <c r="B17" s="39" t="s">
        <v>92</v>
      </c>
      <c r="C17" s="39" t="s">
        <v>93</v>
      </c>
      <c r="D17" s="41">
        <v>55241</v>
      </c>
      <c r="E17" s="41">
        <v>1200</v>
      </c>
      <c r="F17" s="38"/>
      <c r="G17" s="39" t="s">
        <v>94</v>
      </c>
      <c r="H17" s="41">
        <f>D17*E17</f>
        <v>66289200</v>
      </c>
      <c r="I17" s="41">
        <v>0</v>
      </c>
      <c r="J17" s="41">
        <f t="shared" ref="J17:J25" si="0">($H17-$I17)*1</f>
        <v>66289200</v>
      </c>
      <c r="K17" s="41">
        <f t="shared" ref="K17:L25" si="1">($H17-$I17)*0</f>
        <v>0</v>
      </c>
      <c r="L17" s="41">
        <f t="shared" si="1"/>
        <v>0</v>
      </c>
    </row>
    <row r="18" spans="1:12">
      <c r="A18" s="38"/>
      <c r="B18" s="39" t="s">
        <v>95</v>
      </c>
      <c r="C18" s="39" t="s">
        <v>96</v>
      </c>
      <c r="D18" s="38"/>
      <c r="E18" s="38"/>
      <c r="F18" s="38"/>
      <c r="G18" s="39" t="s">
        <v>97</v>
      </c>
      <c r="H18" s="41">
        <v>8710945</v>
      </c>
      <c r="I18" s="41">
        <v>0</v>
      </c>
      <c r="J18" s="41">
        <f t="shared" si="0"/>
        <v>8710945</v>
      </c>
      <c r="K18" s="41">
        <f t="shared" si="1"/>
        <v>0</v>
      </c>
      <c r="L18" s="41">
        <f t="shared" si="1"/>
        <v>0</v>
      </c>
    </row>
    <row r="19" spans="1:12">
      <c r="A19" s="38"/>
      <c r="B19" s="39" t="s">
        <v>98</v>
      </c>
      <c r="C19" s="39" t="s">
        <v>99</v>
      </c>
      <c r="D19" s="38"/>
      <c r="E19" s="38"/>
      <c r="F19" s="38"/>
      <c r="G19" s="39" t="s">
        <v>100</v>
      </c>
      <c r="H19" s="41">
        <v>3450007</v>
      </c>
      <c r="I19" s="41">
        <v>0</v>
      </c>
      <c r="J19" s="41">
        <f t="shared" si="0"/>
        <v>3450007</v>
      </c>
      <c r="K19" s="41">
        <f t="shared" si="1"/>
        <v>0</v>
      </c>
      <c r="L19" s="41">
        <f t="shared" si="1"/>
        <v>0</v>
      </c>
    </row>
    <row r="20" spans="1:12">
      <c r="A20" s="38"/>
      <c r="B20" s="39" t="s">
        <v>101</v>
      </c>
      <c r="C20" s="39" t="s">
        <v>102</v>
      </c>
      <c r="D20" s="38"/>
      <c r="E20" s="38"/>
      <c r="F20" s="38"/>
      <c r="G20" s="39" t="s">
        <v>103</v>
      </c>
      <c r="H20" s="41">
        <v>150000</v>
      </c>
      <c r="I20" s="41">
        <v>0</v>
      </c>
      <c r="J20" s="41">
        <f t="shared" si="0"/>
        <v>150000</v>
      </c>
      <c r="K20" s="41">
        <f t="shared" si="1"/>
        <v>0</v>
      </c>
      <c r="L20" s="41">
        <f t="shared" si="1"/>
        <v>0</v>
      </c>
    </row>
    <row r="21" spans="1:12">
      <c r="A21" s="38"/>
      <c r="B21" s="39" t="s">
        <v>104</v>
      </c>
      <c r="C21" s="39" t="s">
        <v>105</v>
      </c>
      <c r="D21" s="38"/>
      <c r="E21" s="38"/>
      <c r="F21" s="38"/>
      <c r="G21" s="39" t="s">
        <v>106</v>
      </c>
      <c r="H21" s="41">
        <v>1500000</v>
      </c>
      <c r="I21" s="41">
        <v>0</v>
      </c>
      <c r="J21" s="41">
        <f t="shared" si="0"/>
        <v>1500000</v>
      </c>
      <c r="K21" s="41">
        <f t="shared" si="1"/>
        <v>0</v>
      </c>
      <c r="L21" s="41">
        <f t="shared" si="1"/>
        <v>0</v>
      </c>
    </row>
    <row r="22" spans="1:12">
      <c r="A22" s="38"/>
      <c r="B22" s="39" t="s">
        <v>107</v>
      </c>
      <c r="C22" s="39" t="s">
        <v>108</v>
      </c>
      <c r="D22" s="38"/>
      <c r="E22" s="38"/>
      <c r="F22" s="38"/>
      <c r="G22" s="39" t="s">
        <v>109</v>
      </c>
      <c r="H22" s="41">
        <v>1500003</v>
      </c>
      <c r="I22" s="41">
        <v>0</v>
      </c>
      <c r="J22" s="41">
        <f t="shared" si="0"/>
        <v>1500003</v>
      </c>
      <c r="K22" s="41">
        <f t="shared" si="1"/>
        <v>0</v>
      </c>
      <c r="L22" s="41">
        <f t="shared" si="1"/>
        <v>0</v>
      </c>
    </row>
    <row r="23" spans="1:12">
      <c r="A23" s="38"/>
      <c r="B23" s="39" t="s">
        <v>110</v>
      </c>
      <c r="C23" s="39" t="s">
        <v>111</v>
      </c>
      <c r="D23" s="38"/>
      <c r="E23" s="38"/>
      <c r="F23" s="38"/>
      <c r="G23" s="39" t="s">
        <v>112</v>
      </c>
      <c r="H23" s="41">
        <v>5000000</v>
      </c>
      <c r="I23" s="41">
        <v>0</v>
      </c>
      <c r="J23" s="41">
        <f t="shared" si="0"/>
        <v>5000000</v>
      </c>
      <c r="K23" s="41">
        <f t="shared" si="1"/>
        <v>0</v>
      </c>
      <c r="L23" s="41">
        <f t="shared" si="1"/>
        <v>0</v>
      </c>
    </row>
    <row r="24" spans="1:12" ht="25.5">
      <c r="A24" s="38"/>
      <c r="B24" s="39" t="s">
        <v>113</v>
      </c>
      <c r="C24" s="39" t="s">
        <v>114</v>
      </c>
      <c r="D24" s="38"/>
      <c r="E24" s="38"/>
      <c r="F24" s="38"/>
      <c r="G24" s="39" t="s">
        <v>115</v>
      </c>
      <c r="H24" s="41">
        <v>1760000</v>
      </c>
      <c r="I24" s="41">
        <v>0</v>
      </c>
      <c r="J24" s="41">
        <f t="shared" si="0"/>
        <v>1760000</v>
      </c>
      <c r="K24" s="41">
        <f t="shared" si="1"/>
        <v>0</v>
      </c>
      <c r="L24" s="41">
        <f t="shared" si="1"/>
        <v>0</v>
      </c>
    </row>
    <row r="25" spans="1:12">
      <c r="A25" s="38"/>
      <c r="B25" s="39" t="s">
        <v>116</v>
      </c>
      <c r="C25" s="39" t="s">
        <v>117</v>
      </c>
      <c r="D25" s="38"/>
      <c r="E25" s="38"/>
      <c r="F25" s="38"/>
      <c r="G25" s="39" t="s">
        <v>118</v>
      </c>
      <c r="H25" s="41">
        <v>0</v>
      </c>
      <c r="I25" s="41">
        <v>0</v>
      </c>
      <c r="J25" s="41">
        <f t="shared" si="0"/>
        <v>0</v>
      </c>
      <c r="K25" s="41">
        <f t="shared" si="1"/>
        <v>0</v>
      </c>
      <c r="L25" s="41">
        <f t="shared" si="1"/>
        <v>0</v>
      </c>
    </row>
    <row r="26" spans="1:12">
      <c r="A26" s="38"/>
      <c r="B26" s="30" t="s">
        <v>119</v>
      </c>
      <c r="C26" s="39"/>
      <c r="D26" s="38"/>
      <c r="E26" s="38"/>
      <c r="F26" s="42">
        <f>IFERROR(H26/$H$71,0)</f>
        <v>5.0916471099446775E-2</v>
      </c>
      <c r="G26" s="39"/>
      <c r="H26" s="31">
        <f>SUM(H17:H25)</f>
        <v>88360155</v>
      </c>
      <c r="I26" s="31">
        <f>SUM(I17:I25)</f>
        <v>0</v>
      </c>
      <c r="J26" s="31">
        <f>SUM(J17:J25)</f>
        <v>88360155</v>
      </c>
      <c r="K26" s="31">
        <f>SUM(K17:K25)</f>
        <v>0</v>
      </c>
      <c r="L26" s="31">
        <f>SUM(L17:L25)</f>
        <v>0</v>
      </c>
    </row>
    <row r="27" spans="1:12">
      <c r="A27" s="38" t="s">
        <v>120</v>
      </c>
      <c r="B27" s="39" t="s">
        <v>121</v>
      </c>
      <c r="C27" s="39" t="s">
        <v>122</v>
      </c>
      <c r="D27" s="54">
        <v>123024</v>
      </c>
      <c r="E27" s="54">
        <v>7000</v>
      </c>
      <c r="F27" s="38"/>
      <c r="G27" s="39" t="s">
        <v>123</v>
      </c>
      <c r="H27" s="41">
        <f>D27*E27</f>
        <v>861168000</v>
      </c>
      <c r="I27" s="41">
        <v>0</v>
      </c>
      <c r="J27" s="41">
        <f>($H27-$I27)*0.9</f>
        <v>775051200</v>
      </c>
      <c r="K27" s="41">
        <f t="shared" ref="K27:K40" si="2">($H27-$I27)*0</f>
        <v>0</v>
      </c>
      <c r="L27" s="41">
        <f>($H27-$I27)*0.1</f>
        <v>86116800</v>
      </c>
    </row>
    <row r="28" spans="1:12">
      <c r="A28" s="38"/>
      <c r="B28" s="39" t="s">
        <v>124</v>
      </c>
      <c r="C28" s="39" t="s">
        <v>125</v>
      </c>
      <c r="D28" s="38"/>
      <c r="E28" s="38"/>
      <c r="F28" s="38"/>
      <c r="G28" s="39" t="s">
        <v>126</v>
      </c>
      <c r="H28" s="41">
        <v>167111628</v>
      </c>
      <c r="I28" s="41">
        <v>0</v>
      </c>
      <c r="J28" s="41">
        <f>($H28-$I28)*0.9</f>
        <v>150400465.20000002</v>
      </c>
      <c r="K28" s="41">
        <f t="shared" si="2"/>
        <v>0</v>
      </c>
      <c r="L28" s="41">
        <f>($H28-$I28)*0.1</f>
        <v>16711162.800000001</v>
      </c>
    </row>
    <row r="29" spans="1:12" ht="25.5">
      <c r="A29" s="38"/>
      <c r="B29" s="39" t="s">
        <v>127</v>
      </c>
      <c r="C29" s="39" t="s">
        <v>128</v>
      </c>
      <c r="D29" s="41">
        <v>184660</v>
      </c>
      <c r="E29" s="41">
        <v>150</v>
      </c>
      <c r="F29" s="38"/>
      <c r="G29" s="39" t="s">
        <v>129</v>
      </c>
      <c r="H29" s="41">
        <f>D29*E29</f>
        <v>27699000</v>
      </c>
      <c r="I29" s="41">
        <v>0</v>
      </c>
      <c r="J29" s="41">
        <f t="shared" ref="J29:J39" si="3">($H29-$I29)*1</f>
        <v>27699000</v>
      </c>
      <c r="K29" s="41">
        <f t="shared" si="2"/>
        <v>0</v>
      </c>
      <c r="L29" s="41">
        <f t="shared" ref="L29:L39" si="4">($H29-$I29)*0</f>
        <v>0</v>
      </c>
    </row>
    <row r="30" spans="1:12">
      <c r="A30" s="38"/>
      <c r="B30" s="39" t="s">
        <v>130</v>
      </c>
      <c r="C30" s="39" t="s">
        <v>105</v>
      </c>
      <c r="D30" s="38"/>
      <c r="E30" s="38"/>
      <c r="F30" s="38"/>
      <c r="G30" s="39" t="s">
        <v>106</v>
      </c>
      <c r="H30" s="41">
        <v>10000000</v>
      </c>
      <c r="I30" s="41">
        <v>0</v>
      </c>
      <c r="J30" s="41">
        <f t="shared" si="3"/>
        <v>10000000</v>
      </c>
      <c r="K30" s="41">
        <f t="shared" si="2"/>
        <v>0</v>
      </c>
      <c r="L30" s="41">
        <f t="shared" si="4"/>
        <v>0</v>
      </c>
    </row>
    <row r="31" spans="1:12">
      <c r="A31" s="38"/>
      <c r="B31" s="39" t="s">
        <v>131</v>
      </c>
      <c r="C31" s="39" t="s">
        <v>105</v>
      </c>
      <c r="D31" s="38"/>
      <c r="E31" s="38"/>
      <c r="F31" s="38"/>
      <c r="G31" s="39" t="s">
        <v>106</v>
      </c>
      <c r="H31" s="41">
        <v>3000000</v>
      </c>
      <c r="I31" s="41">
        <v>0</v>
      </c>
      <c r="J31" s="41">
        <f t="shared" si="3"/>
        <v>3000000</v>
      </c>
      <c r="K31" s="41">
        <f t="shared" si="2"/>
        <v>0</v>
      </c>
      <c r="L31" s="41">
        <f t="shared" si="4"/>
        <v>0</v>
      </c>
    </row>
    <row r="32" spans="1:12">
      <c r="A32" s="38"/>
      <c r="B32" s="39" t="s">
        <v>132</v>
      </c>
      <c r="C32" s="39" t="s">
        <v>105</v>
      </c>
      <c r="D32" s="38"/>
      <c r="E32" s="38"/>
      <c r="F32" s="38"/>
      <c r="G32" s="39" t="s">
        <v>133</v>
      </c>
      <c r="H32" s="41">
        <v>7400000</v>
      </c>
      <c r="I32" s="41">
        <v>0</v>
      </c>
      <c r="J32" s="41">
        <f t="shared" si="3"/>
        <v>7400000</v>
      </c>
      <c r="K32" s="41">
        <f t="shared" si="2"/>
        <v>0</v>
      </c>
      <c r="L32" s="41">
        <f t="shared" si="4"/>
        <v>0</v>
      </c>
    </row>
    <row r="33" spans="1:12">
      <c r="A33" s="38"/>
      <c r="B33" s="39" t="s">
        <v>134</v>
      </c>
      <c r="C33" s="39" t="s">
        <v>135</v>
      </c>
      <c r="D33" s="38"/>
      <c r="E33" s="38"/>
      <c r="F33" s="38"/>
      <c r="G33" s="39" t="s">
        <v>136</v>
      </c>
      <c r="H33" s="41">
        <v>1500000</v>
      </c>
      <c r="I33" s="41">
        <v>0</v>
      </c>
      <c r="J33" s="41">
        <f t="shared" si="3"/>
        <v>1500000</v>
      </c>
      <c r="K33" s="41">
        <f t="shared" si="2"/>
        <v>0</v>
      </c>
      <c r="L33" s="41">
        <f t="shared" si="4"/>
        <v>0</v>
      </c>
    </row>
    <row r="34" spans="1:12">
      <c r="A34" s="38"/>
      <c r="B34" s="39" t="s">
        <v>137</v>
      </c>
      <c r="C34" s="39" t="s">
        <v>105</v>
      </c>
      <c r="D34" s="38"/>
      <c r="E34" s="38"/>
      <c r="F34" s="38"/>
      <c r="G34" s="39" t="s">
        <v>133</v>
      </c>
      <c r="H34" s="41">
        <v>7400000</v>
      </c>
      <c r="I34" s="41">
        <v>0</v>
      </c>
      <c r="J34" s="41">
        <f t="shared" si="3"/>
        <v>7400000</v>
      </c>
      <c r="K34" s="41">
        <f t="shared" si="2"/>
        <v>0</v>
      </c>
      <c r="L34" s="41">
        <f t="shared" si="4"/>
        <v>0</v>
      </c>
    </row>
    <row r="35" spans="1:12">
      <c r="A35" s="38"/>
      <c r="B35" s="39" t="s">
        <v>138</v>
      </c>
      <c r="C35" s="39" t="s">
        <v>105</v>
      </c>
      <c r="D35" s="38"/>
      <c r="E35" s="38"/>
      <c r="F35" s="38"/>
      <c r="G35" s="39" t="s">
        <v>133</v>
      </c>
      <c r="H35" s="41">
        <v>11100000</v>
      </c>
      <c r="I35" s="41">
        <v>0</v>
      </c>
      <c r="J35" s="41">
        <f t="shared" si="3"/>
        <v>11100000</v>
      </c>
      <c r="K35" s="41">
        <f t="shared" si="2"/>
        <v>0</v>
      </c>
      <c r="L35" s="41">
        <f t="shared" si="4"/>
        <v>0</v>
      </c>
    </row>
    <row r="36" spans="1:12">
      <c r="A36" s="38"/>
      <c r="B36" s="39" t="s">
        <v>139</v>
      </c>
      <c r="C36" s="39" t="s">
        <v>105</v>
      </c>
      <c r="D36" s="38"/>
      <c r="E36" s="38"/>
      <c r="F36" s="38"/>
      <c r="G36" s="39" t="s">
        <v>140</v>
      </c>
      <c r="H36" s="41">
        <v>2000000</v>
      </c>
      <c r="I36" s="41">
        <v>0</v>
      </c>
      <c r="J36" s="41">
        <f t="shared" si="3"/>
        <v>2000000</v>
      </c>
      <c r="K36" s="41">
        <f t="shared" si="2"/>
        <v>0</v>
      </c>
      <c r="L36" s="41">
        <f t="shared" si="4"/>
        <v>0</v>
      </c>
    </row>
    <row r="37" spans="1:12" ht="25.5">
      <c r="A37" s="38"/>
      <c r="B37" s="39" t="s">
        <v>141</v>
      </c>
      <c r="C37" s="39" t="s">
        <v>142</v>
      </c>
      <c r="D37" s="38"/>
      <c r="E37" s="38"/>
      <c r="F37" s="38"/>
      <c r="G37" s="39" t="s">
        <v>133</v>
      </c>
      <c r="H37" s="41">
        <v>2000000</v>
      </c>
      <c r="I37" s="41">
        <v>0</v>
      </c>
      <c r="J37" s="41">
        <f t="shared" si="3"/>
        <v>2000000</v>
      </c>
      <c r="K37" s="41">
        <f t="shared" si="2"/>
        <v>0</v>
      </c>
      <c r="L37" s="41">
        <f t="shared" si="4"/>
        <v>0</v>
      </c>
    </row>
    <row r="38" spans="1:12">
      <c r="A38" s="38"/>
      <c r="B38" s="39" t="s">
        <v>143</v>
      </c>
      <c r="C38" s="39" t="s">
        <v>144</v>
      </c>
      <c r="D38" s="38"/>
      <c r="E38" s="38"/>
      <c r="F38" s="38"/>
      <c r="G38" s="39" t="s">
        <v>145</v>
      </c>
      <c r="H38" s="41">
        <v>500000</v>
      </c>
      <c r="I38" s="41">
        <v>0</v>
      </c>
      <c r="J38" s="41">
        <f t="shared" si="3"/>
        <v>500000</v>
      </c>
      <c r="K38" s="41">
        <f t="shared" si="2"/>
        <v>0</v>
      </c>
      <c r="L38" s="41">
        <f t="shared" si="4"/>
        <v>0</v>
      </c>
    </row>
    <row r="39" spans="1:12" ht="25.5">
      <c r="A39" s="38"/>
      <c r="B39" s="39" t="s">
        <v>146</v>
      </c>
      <c r="C39" s="39" t="s">
        <v>105</v>
      </c>
      <c r="D39" s="38"/>
      <c r="E39" s="38"/>
      <c r="F39" s="38"/>
      <c r="G39" s="39" t="s">
        <v>140</v>
      </c>
      <c r="H39" s="41">
        <v>3000000</v>
      </c>
      <c r="I39" s="41">
        <v>0</v>
      </c>
      <c r="J39" s="41">
        <f t="shared" si="3"/>
        <v>3000000</v>
      </c>
      <c r="K39" s="41">
        <f t="shared" si="2"/>
        <v>0</v>
      </c>
      <c r="L39" s="41">
        <f t="shared" si="4"/>
        <v>0</v>
      </c>
    </row>
    <row r="40" spans="1:12" ht="25.5">
      <c r="A40" s="38"/>
      <c r="B40" s="39" t="s">
        <v>147</v>
      </c>
      <c r="C40" s="39" t="s">
        <v>148</v>
      </c>
      <c r="D40" s="38"/>
      <c r="E40" s="38"/>
      <c r="F40" s="38"/>
      <c r="G40" s="39" t="s">
        <v>149</v>
      </c>
      <c r="H40" s="41">
        <v>32493636</v>
      </c>
      <c r="I40" s="41">
        <v>0</v>
      </c>
      <c r="J40" s="41">
        <f>($H40-$I40)*0</f>
        <v>0</v>
      </c>
      <c r="K40" s="41">
        <f t="shared" si="2"/>
        <v>0</v>
      </c>
      <c r="L40" s="41">
        <f>($H40-$I40)*1</f>
        <v>32493636</v>
      </c>
    </row>
    <row r="41" spans="1:12">
      <c r="A41" s="38"/>
      <c r="B41" s="30" t="s">
        <v>150</v>
      </c>
      <c r="C41" s="39"/>
      <c r="D41" s="38"/>
      <c r="E41" s="38"/>
      <c r="F41" s="42">
        <f>IFERROR(H41/$H$71,0)</f>
        <v>0.65482077909628955</v>
      </c>
      <c r="G41" s="39"/>
      <c r="H41" s="31">
        <f>SUM(H27:H40)</f>
        <v>1136372264</v>
      </c>
      <c r="I41" s="31">
        <f>SUM(I27:I40)</f>
        <v>0</v>
      </c>
      <c r="J41" s="31">
        <f>SUM(J27:J40)</f>
        <v>1001050665.2</v>
      </c>
      <c r="K41" s="31">
        <f>SUM(K27:K40)</f>
        <v>0</v>
      </c>
      <c r="L41" s="31">
        <f>SUM(L27:L40)</f>
        <v>135321598.80000001</v>
      </c>
    </row>
    <row r="42" spans="1:12">
      <c r="A42" s="38" t="s">
        <v>151</v>
      </c>
      <c r="B42" s="39" t="s">
        <v>152</v>
      </c>
      <c r="C42" s="39" t="s">
        <v>153</v>
      </c>
      <c r="D42" s="41">
        <v>126</v>
      </c>
      <c r="E42" s="41">
        <v>250000</v>
      </c>
      <c r="F42" s="38"/>
      <c r="G42" s="39" t="s">
        <v>154</v>
      </c>
      <c r="H42" s="41">
        <f>D42*E42</f>
        <v>31500000</v>
      </c>
      <c r="I42" s="41">
        <v>0</v>
      </c>
      <c r="J42" s="41">
        <f>($H42-$I42)*1</f>
        <v>31500000</v>
      </c>
      <c r="K42" s="41">
        <f>($H42-$I42)*0</f>
        <v>0</v>
      </c>
      <c r="L42" s="41">
        <f>($H42-$I42)*0</f>
        <v>0</v>
      </c>
    </row>
    <row r="43" spans="1:12" ht="25.5">
      <c r="A43" s="38"/>
      <c r="B43" s="39" t="s">
        <v>155</v>
      </c>
      <c r="C43" s="39" t="s">
        <v>156</v>
      </c>
      <c r="D43" s="38"/>
      <c r="E43" s="38"/>
      <c r="F43" s="38"/>
      <c r="G43" s="39" t="s">
        <v>157</v>
      </c>
      <c r="H43" s="41">
        <v>16587090</v>
      </c>
      <c r="I43" s="41">
        <v>0</v>
      </c>
      <c r="J43" s="41">
        <f>($H43-$I43)*1</f>
        <v>16587090</v>
      </c>
      <c r="K43" s="41">
        <f>($H43-$I43)*0</f>
        <v>0</v>
      </c>
      <c r="L43" s="41">
        <f>($H43-$I43)*0</f>
        <v>0</v>
      </c>
    </row>
    <row r="44" spans="1:12">
      <c r="A44" s="38"/>
      <c r="B44" s="39" t="s">
        <v>158</v>
      </c>
      <c r="C44" s="39" t="s">
        <v>159</v>
      </c>
      <c r="D44" s="41">
        <v>2495</v>
      </c>
      <c r="E44" s="41">
        <v>20000</v>
      </c>
      <c r="F44" s="38"/>
      <c r="G44" s="39" t="s">
        <v>160</v>
      </c>
      <c r="H44" s="41">
        <f>D44*E44</f>
        <v>49900000</v>
      </c>
      <c r="I44" s="41">
        <v>0</v>
      </c>
      <c r="J44" s="41">
        <f>($H44-$I44)*0</f>
        <v>0</v>
      </c>
      <c r="K44" s="41">
        <f>($H44-$I44)*1</f>
        <v>49900000</v>
      </c>
      <c r="L44" s="41">
        <f>($H44-$I44)*0</f>
        <v>0</v>
      </c>
    </row>
    <row r="45" spans="1:12">
      <c r="A45" s="38"/>
      <c r="B45" s="39" t="s">
        <v>161</v>
      </c>
      <c r="C45" s="39" t="s">
        <v>162</v>
      </c>
      <c r="D45" s="38"/>
      <c r="E45" s="38"/>
      <c r="F45" s="38"/>
      <c r="G45" s="39" t="s">
        <v>140</v>
      </c>
      <c r="H45" s="41">
        <v>15000000</v>
      </c>
      <c r="I45" s="41">
        <v>0</v>
      </c>
      <c r="J45" s="41">
        <f>($H45-$I45)*0</f>
        <v>0</v>
      </c>
      <c r="K45" s="41">
        <f>($H45-$I45)*1</f>
        <v>15000000</v>
      </c>
      <c r="L45" s="41">
        <f>($H45-$I45)*0</f>
        <v>0</v>
      </c>
    </row>
    <row r="46" spans="1:12">
      <c r="A46" s="38"/>
      <c r="B46" s="39" t="s">
        <v>163</v>
      </c>
      <c r="C46" s="39" t="s">
        <v>164</v>
      </c>
      <c r="D46" s="38"/>
      <c r="E46" s="38"/>
      <c r="F46" s="38"/>
      <c r="G46" s="39" t="s">
        <v>140</v>
      </c>
      <c r="H46" s="41">
        <v>6000000</v>
      </c>
      <c r="I46" s="41">
        <v>0</v>
      </c>
      <c r="J46" s="41">
        <f>($H46-$I46)*0</f>
        <v>0</v>
      </c>
      <c r="K46" s="41">
        <f>($H46-$I46)*1</f>
        <v>6000000</v>
      </c>
      <c r="L46" s="41">
        <f>($H46-$I46)*0</f>
        <v>0</v>
      </c>
    </row>
    <row r="47" spans="1:12">
      <c r="A47" s="38"/>
      <c r="B47" s="39" t="s">
        <v>165</v>
      </c>
      <c r="C47" s="39" t="s">
        <v>166</v>
      </c>
      <c r="D47" s="38"/>
      <c r="E47" s="38"/>
      <c r="F47" s="38"/>
      <c r="G47" s="39" t="s">
        <v>167</v>
      </c>
      <c r="H47" s="41">
        <v>4423224</v>
      </c>
      <c r="I47" s="41">
        <v>0</v>
      </c>
      <c r="J47" s="41">
        <f>($H47-$I47)*1</f>
        <v>4423224</v>
      </c>
      <c r="K47" s="41">
        <f>($H47-$I47)*0</f>
        <v>0</v>
      </c>
      <c r="L47" s="41">
        <f>($H47-$I47)*0</f>
        <v>0</v>
      </c>
    </row>
    <row r="48" spans="1:12">
      <c r="A48" s="38"/>
      <c r="B48" s="39" t="s">
        <v>168</v>
      </c>
      <c r="C48" s="39" t="s">
        <v>169</v>
      </c>
      <c r="D48" s="38"/>
      <c r="E48" s="38"/>
      <c r="F48" s="38"/>
      <c r="G48" s="39" t="s">
        <v>170</v>
      </c>
      <c r="H48" s="41">
        <v>29500000</v>
      </c>
      <c r="I48" s="41">
        <v>0</v>
      </c>
      <c r="J48" s="41">
        <f>($H48-$I48)*0</f>
        <v>0</v>
      </c>
      <c r="K48" s="41">
        <f>($H48-$I48)*1</f>
        <v>29500000</v>
      </c>
      <c r="L48" s="41">
        <f>($H48-$I48)*0</f>
        <v>0</v>
      </c>
    </row>
    <row r="49" spans="1:12">
      <c r="A49" s="38"/>
      <c r="B49" s="39" t="s">
        <v>171</v>
      </c>
      <c r="C49" s="39" t="s">
        <v>172</v>
      </c>
      <c r="D49" s="38"/>
      <c r="E49" s="38"/>
      <c r="F49" s="38"/>
      <c r="G49" s="39" t="s">
        <v>173</v>
      </c>
      <c r="H49" s="41">
        <v>33800000</v>
      </c>
      <c r="I49" s="41">
        <v>0</v>
      </c>
      <c r="J49" s="41">
        <f>($H49-$I49)*0</f>
        <v>0</v>
      </c>
      <c r="K49" s="41">
        <f>($H49-$I49)*0</f>
        <v>0</v>
      </c>
      <c r="L49" s="41">
        <f>($H49-$I49)*1</f>
        <v>33800000</v>
      </c>
    </row>
    <row r="50" spans="1:12">
      <c r="A50" s="38"/>
      <c r="B50" s="39" t="s">
        <v>174</v>
      </c>
      <c r="C50" s="39" t="s">
        <v>175</v>
      </c>
      <c r="D50" s="38"/>
      <c r="E50" s="38"/>
      <c r="F50" s="38"/>
      <c r="G50" s="39" t="s">
        <v>176</v>
      </c>
      <c r="H50" s="41">
        <v>29600000</v>
      </c>
      <c r="I50" s="41">
        <v>0</v>
      </c>
      <c r="J50" s="41">
        <f>($H50-$I50)*0</f>
        <v>0</v>
      </c>
      <c r="K50" s="41">
        <f>($H50-$I50)*0</f>
        <v>0</v>
      </c>
      <c r="L50" s="41">
        <f>($H50-$I50)*1</f>
        <v>29600000</v>
      </c>
    </row>
    <row r="51" spans="1:12">
      <c r="A51" s="38"/>
      <c r="B51" s="39" t="s">
        <v>177</v>
      </c>
      <c r="C51" s="39" t="s">
        <v>178</v>
      </c>
      <c r="D51" s="41">
        <v>85693</v>
      </c>
      <c r="E51" s="41">
        <v>50</v>
      </c>
      <c r="F51" s="38"/>
      <c r="G51" s="39" t="s">
        <v>149</v>
      </c>
      <c r="H51" s="41">
        <f>D51*E51</f>
        <v>4284650</v>
      </c>
      <c r="I51" s="41">
        <v>0</v>
      </c>
      <c r="J51" s="41">
        <f>($H51-$I51)*1</f>
        <v>4284650</v>
      </c>
      <c r="K51" s="41">
        <f>($H51-$I51)*0</f>
        <v>0</v>
      </c>
      <c r="L51" s="41">
        <f t="shared" ref="L51:L57" si="5">($H51-$I51)*0</f>
        <v>0</v>
      </c>
    </row>
    <row r="52" spans="1:12" ht="25.5">
      <c r="A52" s="38"/>
      <c r="B52" s="39" t="s">
        <v>179</v>
      </c>
      <c r="C52" s="39" t="s">
        <v>180</v>
      </c>
      <c r="D52" s="38"/>
      <c r="E52" s="38"/>
      <c r="F52" s="38"/>
      <c r="G52" s="39" t="s">
        <v>181</v>
      </c>
      <c r="H52" s="41">
        <v>540000</v>
      </c>
      <c r="I52" s="41">
        <v>0</v>
      </c>
      <c r="J52" s="41">
        <f>($H52-$I52)*1</f>
        <v>540000</v>
      </c>
      <c r="K52" s="41">
        <f>($H52-$I52)*0</f>
        <v>0</v>
      </c>
      <c r="L52" s="41">
        <f t="shared" si="5"/>
        <v>0</v>
      </c>
    </row>
    <row r="53" spans="1:12">
      <c r="A53" s="38"/>
      <c r="B53" s="39" t="s">
        <v>182</v>
      </c>
      <c r="C53" s="39" t="s">
        <v>183</v>
      </c>
      <c r="D53" s="38"/>
      <c r="E53" s="38"/>
      <c r="F53" s="38"/>
      <c r="G53" s="39" t="s">
        <v>184</v>
      </c>
      <c r="H53" s="41">
        <v>4423224</v>
      </c>
      <c r="I53" s="41">
        <v>0</v>
      </c>
      <c r="J53" s="41">
        <f>($H53-$I53)*0</f>
        <v>0</v>
      </c>
      <c r="K53" s="41">
        <f>($H53-$I53)*1</f>
        <v>4423224</v>
      </c>
      <c r="L53" s="41">
        <f t="shared" si="5"/>
        <v>0</v>
      </c>
    </row>
    <row r="54" spans="1:12" ht="25.5">
      <c r="A54" s="38"/>
      <c r="B54" s="39" t="s">
        <v>185</v>
      </c>
      <c r="C54" s="39" t="s">
        <v>186</v>
      </c>
      <c r="D54" s="38"/>
      <c r="E54" s="38"/>
      <c r="F54" s="38"/>
      <c r="G54" s="39" t="s">
        <v>187</v>
      </c>
      <c r="H54" s="41">
        <v>17500000</v>
      </c>
      <c r="I54" s="41">
        <v>0</v>
      </c>
      <c r="J54" s="41">
        <f>($H54-$I54)*1</f>
        <v>17500000</v>
      </c>
      <c r="K54" s="41">
        <f t="shared" ref="K54:K62" si="6">($H54-$I54)*0</f>
        <v>0</v>
      </c>
      <c r="L54" s="41">
        <f t="shared" si="5"/>
        <v>0</v>
      </c>
    </row>
    <row r="55" spans="1:12">
      <c r="A55" s="38"/>
      <c r="B55" s="39" t="s">
        <v>188</v>
      </c>
      <c r="C55" s="39" t="s">
        <v>105</v>
      </c>
      <c r="D55" s="38"/>
      <c r="E55" s="38"/>
      <c r="F55" s="38"/>
      <c r="G55" s="39" t="s">
        <v>133</v>
      </c>
      <c r="H55" s="41">
        <v>5700000</v>
      </c>
      <c r="I55" s="41">
        <v>0</v>
      </c>
      <c r="J55" s="41">
        <f>($H55-$I55)*1</f>
        <v>5700000</v>
      </c>
      <c r="K55" s="41">
        <f t="shared" si="6"/>
        <v>0</v>
      </c>
      <c r="L55" s="41">
        <f t="shared" si="5"/>
        <v>0</v>
      </c>
    </row>
    <row r="56" spans="1:12">
      <c r="A56" s="38"/>
      <c r="B56" s="39" t="s">
        <v>189</v>
      </c>
      <c r="C56" s="39" t="s">
        <v>105</v>
      </c>
      <c r="D56" s="38"/>
      <c r="E56" s="38"/>
      <c r="F56" s="38"/>
      <c r="G56" s="39" t="s">
        <v>140</v>
      </c>
      <c r="H56" s="41">
        <v>3000000</v>
      </c>
      <c r="I56" s="41">
        <v>0</v>
      </c>
      <c r="J56" s="41">
        <f>($H56-$I56)*1</f>
        <v>3000000</v>
      </c>
      <c r="K56" s="41">
        <f t="shared" si="6"/>
        <v>0</v>
      </c>
      <c r="L56" s="41">
        <f t="shared" si="5"/>
        <v>0</v>
      </c>
    </row>
    <row r="57" spans="1:12">
      <c r="A57" s="38"/>
      <c r="B57" s="39" t="s">
        <v>190</v>
      </c>
      <c r="C57" s="39" t="s">
        <v>191</v>
      </c>
      <c r="D57" s="38"/>
      <c r="E57" s="38"/>
      <c r="F57" s="38"/>
      <c r="G57" s="39" t="s">
        <v>140</v>
      </c>
      <c r="H57" s="41">
        <v>5000000</v>
      </c>
      <c r="I57" s="41">
        <v>0</v>
      </c>
      <c r="J57" s="41">
        <f>($H57-$I57)*1</f>
        <v>5000000</v>
      </c>
      <c r="K57" s="41">
        <f t="shared" si="6"/>
        <v>0</v>
      </c>
      <c r="L57" s="41">
        <f t="shared" si="5"/>
        <v>0</v>
      </c>
    </row>
    <row r="58" spans="1:12">
      <c r="A58" s="38"/>
      <c r="B58" s="39" t="s">
        <v>192</v>
      </c>
      <c r="C58" s="39" t="s">
        <v>105</v>
      </c>
      <c r="D58" s="38"/>
      <c r="E58" s="38"/>
      <c r="F58" s="38"/>
      <c r="G58" s="39" t="s">
        <v>140</v>
      </c>
      <c r="H58" s="41">
        <v>2000000</v>
      </c>
      <c r="I58" s="41">
        <v>0</v>
      </c>
      <c r="J58" s="41">
        <f>($H58-$I58)*0</f>
        <v>0</v>
      </c>
      <c r="K58" s="41">
        <f t="shared" si="6"/>
        <v>0</v>
      </c>
      <c r="L58" s="41">
        <f>($H58-$I58)*1</f>
        <v>2000000</v>
      </c>
    </row>
    <row r="59" spans="1:12" ht="25.5">
      <c r="A59" s="38"/>
      <c r="B59" s="39" t="s">
        <v>193</v>
      </c>
      <c r="C59" s="39" t="s">
        <v>194</v>
      </c>
      <c r="D59" s="38"/>
      <c r="E59" s="38"/>
      <c r="F59" s="38"/>
      <c r="G59" s="39" t="s">
        <v>195</v>
      </c>
      <c r="H59" s="41">
        <v>15000000</v>
      </c>
      <c r="I59" s="41">
        <v>0</v>
      </c>
      <c r="J59" s="41">
        <f>($H59-$I59)*1</f>
        <v>15000000</v>
      </c>
      <c r="K59" s="41">
        <f t="shared" si="6"/>
        <v>0</v>
      </c>
      <c r="L59" s="41">
        <f>($H59-$I59)*0</f>
        <v>0</v>
      </c>
    </row>
    <row r="60" spans="1:12" ht="25.5">
      <c r="A60" s="38"/>
      <c r="B60" s="39" t="s">
        <v>196</v>
      </c>
      <c r="C60" s="39" t="s">
        <v>197</v>
      </c>
      <c r="D60" s="38"/>
      <c r="E60" s="38"/>
      <c r="F60" s="38"/>
      <c r="G60" s="39" t="s">
        <v>198</v>
      </c>
      <c r="H60" s="41">
        <v>19800000</v>
      </c>
      <c r="I60" s="41">
        <v>0</v>
      </c>
      <c r="J60" s="41">
        <f>($H60-$I60)*1</f>
        <v>19800000</v>
      </c>
      <c r="K60" s="41">
        <f t="shared" si="6"/>
        <v>0</v>
      </c>
      <c r="L60" s="41">
        <f>($H60-$I60)*0</f>
        <v>0</v>
      </c>
    </row>
    <row r="61" spans="1:12">
      <c r="A61" s="38"/>
      <c r="B61" s="39" t="s">
        <v>199</v>
      </c>
      <c r="C61" s="39" t="s">
        <v>200</v>
      </c>
      <c r="D61" s="38"/>
      <c r="E61" s="38"/>
      <c r="F61" s="38"/>
      <c r="G61" s="39" t="s">
        <v>201</v>
      </c>
      <c r="H61" s="41">
        <v>4500000</v>
      </c>
      <c r="I61" s="41">
        <v>0</v>
      </c>
      <c r="J61" s="41">
        <f>($H61-$I61)*1</f>
        <v>4500000</v>
      </c>
      <c r="K61" s="41">
        <f t="shared" si="6"/>
        <v>0</v>
      </c>
      <c r="L61" s="41">
        <f>($H61-$I61)*0</f>
        <v>0</v>
      </c>
    </row>
    <row r="62" spans="1:12">
      <c r="A62" s="38"/>
      <c r="B62" s="39" t="s">
        <v>202</v>
      </c>
      <c r="C62" s="39" t="s">
        <v>203</v>
      </c>
      <c r="D62" s="38"/>
      <c r="E62" s="38"/>
      <c r="F62" s="38"/>
      <c r="G62" s="39" t="s">
        <v>204</v>
      </c>
      <c r="H62" s="41">
        <v>45683718</v>
      </c>
      <c r="I62" s="41">
        <v>0</v>
      </c>
      <c r="J62" s="41">
        <f>($H62-$I62)*1</f>
        <v>45683718</v>
      </c>
      <c r="K62" s="41">
        <f t="shared" si="6"/>
        <v>0</v>
      </c>
      <c r="L62" s="41">
        <f>($H62-$I62)*0</f>
        <v>0</v>
      </c>
    </row>
    <row r="63" spans="1:12">
      <c r="A63" s="38"/>
      <c r="B63" s="30" t="s">
        <v>205</v>
      </c>
      <c r="C63" s="39"/>
      <c r="D63" s="38"/>
      <c r="E63" s="38"/>
      <c r="F63" s="42">
        <f>IFERROR(H63/$H$71,0)</f>
        <v>0.19807711770670558</v>
      </c>
      <c r="G63" s="39"/>
      <c r="H63" s="31">
        <f>SUM(H42:H62)</f>
        <v>343741906</v>
      </c>
      <c r="I63" s="31">
        <f>SUM(I42:I62)</f>
        <v>0</v>
      </c>
      <c r="J63" s="31">
        <f>SUM(J42:J62)</f>
        <v>173518682</v>
      </c>
      <c r="K63" s="31">
        <f>SUM(K42:K62)</f>
        <v>104823224</v>
      </c>
      <c r="L63" s="31">
        <f>SUM(L42:L62)</f>
        <v>65400000</v>
      </c>
    </row>
    <row r="64" spans="1:12">
      <c r="A64" s="38" t="s">
        <v>206</v>
      </c>
      <c r="B64" s="39" t="s">
        <v>207</v>
      </c>
      <c r="C64" s="39" t="s">
        <v>208</v>
      </c>
      <c r="D64" s="38"/>
      <c r="E64" s="38"/>
      <c r="F64" s="38"/>
      <c r="G64" s="39" t="s">
        <v>209</v>
      </c>
      <c r="H64" s="41">
        <v>2970000</v>
      </c>
      <c r="I64" s="41">
        <v>0</v>
      </c>
      <c r="J64" s="41">
        <f t="shared" ref="J64:J69" si="7">($H64-$I64)*1</f>
        <v>2970000</v>
      </c>
      <c r="K64" s="41">
        <f t="shared" ref="K64:L69" si="8">($H64-$I64)*0</f>
        <v>0</v>
      </c>
      <c r="L64" s="41">
        <f t="shared" si="8"/>
        <v>0</v>
      </c>
    </row>
    <row r="65" spans="1:12" ht="25.5">
      <c r="A65" s="38"/>
      <c r="B65" s="39" t="s">
        <v>210</v>
      </c>
      <c r="C65" s="39" t="s">
        <v>211</v>
      </c>
      <c r="D65" s="38"/>
      <c r="E65" s="38"/>
      <c r="F65" s="38"/>
      <c r="G65" s="39" t="s">
        <v>209</v>
      </c>
      <c r="H65" s="41">
        <v>11050000</v>
      </c>
      <c r="I65" s="41">
        <v>0</v>
      </c>
      <c r="J65" s="41">
        <f t="shared" si="7"/>
        <v>11050000</v>
      </c>
      <c r="K65" s="41">
        <f t="shared" si="8"/>
        <v>0</v>
      </c>
      <c r="L65" s="41">
        <f t="shared" si="8"/>
        <v>0</v>
      </c>
    </row>
    <row r="66" spans="1:12">
      <c r="A66" s="38"/>
      <c r="B66" s="39" t="s">
        <v>212</v>
      </c>
      <c r="C66" s="39" t="s">
        <v>213</v>
      </c>
      <c r="D66" s="38"/>
      <c r="E66" s="38"/>
      <c r="F66" s="38"/>
      <c r="G66" s="39" t="s">
        <v>209</v>
      </c>
      <c r="H66" s="41">
        <v>2600000</v>
      </c>
      <c r="I66" s="41">
        <v>0</v>
      </c>
      <c r="J66" s="41">
        <f t="shared" si="7"/>
        <v>2600000</v>
      </c>
      <c r="K66" s="41">
        <f t="shared" si="8"/>
        <v>0</v>
      </c>
      <c r="L66" s="41">
        <f t="shared" si="8"/>
        <v>0</v>
      </c>
    </row>
    <row r="67" spans="1:12">
      <c r="A67" s="38"/>
      <c r="B67" s="39" t="s">
        <v>214</v>
      </c>
      <c r="C67" s="39" t="s">
        <v>215</v>
      </c>
      <c r="D67" s="38"/>
      <c r="E67" s="38"/>
      <c r="F67" s="38"/>
      <c r="G67" s="39" t="s">
        <v>209</v>
      </c>
      <c r="H67" s="41">
        <v>1800000</v>
      </c>
      <c r="I67" s="41">
        <v>0</v>
      </c>
      <c r="J67" s="41">
        <f t="shared" si="7"/>
        <v>1800000</v>
      </c>
      <c r="K67" s="41">
        <f t="shared" si="8"/>
        <v>0</v>
      </c>
      <c r="L67" s="41">
        <f t="shared" si="8"/>
        <v>0</v>
      </c>
    </row>
    <row r="68" spans="1:12">
      <c r="A68" s="38"/>
      <c r="B68" s="39" t="s">
        <v>216</v>
      </c>
      <c r="C68" s="39" t="s">
        <v>217</v>
      </c>
      <c r="D68" s="38"/>
      <c r="E68" s="38"/>
      <c r="F68" s="38"/>
      <c r="G68" s="39" t="s">
        <v>218</v>
      </c>
      <c r="H68" s="41">
        <f>'02_현금흐름'!C38</f>
        <v>79857157.098073348</v>
      </c>
      <c r="I68" s="41">
        <v>0</v>
      </c>
      <c r="J68" s="41">
        <f t="shared" si="7"/>
        <v>79857157.098073348</v>
      </c>
      <c r="K68" s="41">
        <f t="shared" si="8"/>
        <v>0</v>
      </c>
      <c r="L68" s="41">
        <f t="shared" si="8"/>
        <v>0</v>
      </c>
    </row>
    <row r="69" spans="1:12" ht="25.5">
      <c r="A69" s="38"/>
      <c r="B69" s="39" t="s">
        <v>219</v>
      </c>
      <c r="C69" s="39" t="s">
        <v>220</v>
      </c>
      <c r="D69" s="38"/>
      <c r="E69" s="38"/>
      <c r="F69" s="38"/>
      <c r="G69" s="39" t="s">
        <v>221</v>
      </c>
      <c r="H69" s="41">
        <v>68642843</v>
      </c>
      <c r="I69" s="41">
        <v>0</v>
      </c>
      <c r="J69" s="41">
        <f t="shared" si="7"/>
        <v>68642843</v>
      </c>
      <c r="K69" s="41">
        <f t="shared" si="8"/>
        <v>0</v>
      </c>
      <c r="L69" s="41">
        <f t="shared" si="8"/>
        <v>0</v>
      </c>
    </row>
    <row r="70" spans="1:12">
      <c r="A70" s="38"/>
      <c r="B70" s="30" t="s">
        <v>222</v>
      </c>
      <c r="C70" s="39"/>
      <c r="D70" s="38"/>
      <c r="E70" s="38"/>
      <c r="F70" s="42">
        <f>IFERROR(H70/$H$71,0)</f>
        <v>9.6185632097558066E-2</v>
      </c>
      <c r="G70" s="39"/>
      <c r="H70" s="31">
        <f>SUM(H64:H69)</f>
        <v>166920000.09807336</v>
      </c>
      <c r="I70" s="31">
        <f>SUM(I64:I69)</f>
        <v>0</v>
      </c>
      <c r="J70" s="31">
        <f>SUM(J64:J69)</f>
        <v>166920000.09807336</v>
      </c>
      <c r="K70" s="31">
        <f>SUM(K64:K69)</f>
        <v>0</v>
      </c>
      <c r="L70" s="31">
        <f>SUM(L64:L69)</f>
        <v>0</v>
      </c>
    </row>
    <row r="71" spans="1:12">
      <c r="A71" s="38"/>
      <c r="B71" s="30" t="s">
        <v>223</v>
      </c>
      <c r="C71" s="39"/>
      <c r="D71" s="38"/>
      <c r="E71" s="38"/>
      <c r="F71" s="38"/>
      <c r="G71" s="39"/>
      <c r="H71" s="31">
        <f>H26+H41+H63+H70</f>
        <v>1735394325.0980735</v>
      </c>
      <c r="I71" s="41">
        <f>I26+I41+I63+I70</f>
        <v>0</v>
      </c>
      <c r="J71" s="41">
        <f>J26+J41+J63+J70</f>
        <v>1429849502.2980733</v>
      </c>
      <c r="K71" s="41">
        <f>K26+K41+K63+K70</f>
        <v>104823224</v>
      </c>
      <c r="L71" s="41">
        <f>L26+L41+L63+L70</f>
        <v>200721598.80000001</v>
      </c>
    </row>
    <row r="72" spans="1:12">
      <c r="B72" s="29" t="s">
        <v>224</v>
      </c>
      <c r="H72" s="45" t="str">
        <f>IF(ROUND(H71,0)=ROUND(I71+J71+K71+L71,0),"OK","불일치")</f>
        <v>OK</v>
      </c>
    </row>
    <row r="74" spans="1:12">
      <c r="A74" s="26" t="s">
        <v>225</v>
      </c>
      <c r="B74" s="36"/>
      <c r="C74" s="36"/>
      <c r="D74" s="37"/>
      <c r="E74" s="37"/>
      <c r="F74" s="37"/>
      <c r="G74" s="36"/>
    </row>
    <row r="75" spans="1:12">
      <c r="A75" s="38"/>
      <c r="B75" s="30" t="s">
        <v>79</v>
      </c>
      <c r="C75" s="39"/>
      <c r="D75" s="38"/>
      <c r="E75" s="31">
        <f>E13</f>
        <v>1107376000</v>
      </c>
      <c r="F75" s="38"/>
      <c r="G75" s="39"/>
    </row>
    <row r="76" spans="1:12">
      <c r="A76" s="38"/>
      <c r="B76" s="30" t="s">
        <v>223</v>
      </c>
      <c r="C76" s="39"/>
      <c r="D76" s="38"/>
      <c r="E76" s="31">
        <f>H71</f>
        <v>1735394325.0980735</v>
      </c>
      <c r="F76" s="38"/>
      <c r="G76" s="39"/>
    </row>
    <row r="77" spans="1:12">
      <c r="A77" s="38"/>
      <c r="B77" s="30" t="s">
        <v>226</v>
      </c>
      <c r="C77" s="39"/>
      <c r="D77" s="38"/>
      <c r="E77" s="31">
        <f>E13-H71</f>
        <v>-628018325.09807348</v>
      </c>
      <c r="F77" s="38"/>
      <c r="G77" s="39"/>
    </row>
    <row r="78" spans="1:12">
      <c r="A78" s="38"/>
      <c r="B78" s="30" t="s">
        <v>227</v>
      </c>
      <c r="C78" s="39"/>
      <c r="D78" s="38"/>
      <c r="E78" s="32">
        <f>IFERROR(E77/E75,0)</f>
        <v>-0.5671229330399733</v>
      </c>
      <c r="F78" s="38"/>
      <c r="G78" s="39"/>
    </row>
    <row r="79" spans="1:12">
      <c r="A79" s="38"/>
      <c r="B79" s="30" t="s">
        <v>228</v>
      </c>
      <c r="C79" s="39"/>
      <c r="D79" s="38"/>
      <c r="E79" s="32">
        <f>IFERROR(E77/E76,0)</f>
        <v>-0.36188796748691793</v>
      </c>
      <c r="F79" s="38"/>
      <c r="G79" s="39"/>
    </row>
  </sheetData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A38"/>
  <sheetViews>
    <sheetView workbookViewId="0">
      <selection activeCell="C35" sqref="C35"/>
    </sheetView>
  </sheetViews>
  <sheetFormatPr defaultRowHeight="12.75"/>
  <cols>
    <col min="1" max="1" width="18" style="34" customWidth="1"/>
    <col min="2" max="2" width="24.125" style="34" bestFit="1" customWidth="1"/>
    <col min="3" max="3" width="16" style="34" customWidth="1"/>
    <col min="4" max="129" width="13" style="34" customWidth="1"/>
    <col min="130" max="130" width="15" style="34" customWidth="1"/>
    <col min="131" max="131" width="10" style="34" customWidth="1"/>
    <col min="132" max="16384" width="9" style="34"/>
  </cols>
  <sheetData>
    <row r="1" spans="1:131" ht="25.5">
      <c r="A1" s="49" t="s">
        <v>229</v>
      </c>
    </row>
    <row r="3" spans="1:131">
      <c r="A3" s="46" t="s">
        <v>2</v>
      </c>
      <c r="B3" s="46" t="s">
        <v>3</v>
      </c>
      <c r="C3" s="46" t="s">
        <v>230</v>
      </c>
      <c r="D3" s="47" t="s">
        <v>231</v>
      </c>
      <c r="E3" s="47" t="s">
        <v>232</v>
      </c>
      <c r="F3" s="47" t="s">
        <v>233</v>
      </c>
      <c r="G3" s="47" t="s">
        <v>234</v>
      </c>
      <c r="H3" s="47" t="s">
        <v>235</v>
      </c>
      <c r="I3" s="47" t="s">
        <v>236</v>
      </c>
      <c r="J3" s="47" t="s">
        <v>237</v>
      </c>
      <c r="K3" s="47" t="s">
        <v>238</v>
      </c>
      <c r="L3" s="47" t="s">
        <v>239</v>
      </c>
      <c r="M3" s="47" t="s">
        <v>240</v>
      </c>
      <c r="N3" s="47" t="s">
        <v>241</v>
      </c>
      <c r="O3" s="47" t="s">
        <v>242</v>
      </c>
      <c r="P3" s="47" t="s">
        <v>243</v>
      </c>
      <c r="Q3" s="47" t="s">
        <v>244</v>
      </c>
      <c r="R3" s="47" t="s">
        <v>245</v>
      </c>
      <c r="S3" s="47" t="s">
        <v>246</v>
      </c>
      <c r="T3" s="47" t="s">
        <v>247</v>
      </c>
      <c r="U3" s="47" t="s">
        <v>248</v>
      </c>
      <c r="V3" s="47" t="s">
        <v>249</v>
      </c>
      <c r="W3" s="47" t="s">
        <v>250</v>
      </c>
      <c r="X3" s="47" t="s">
        <v>251</v>
      </c>
      <c r="Y3" s="47" t="s">
        <v>252</v>
      </c>
      <c r="Z3" s="47" t="s">
        <v>253</v>
      </c>
      <c r="AA3" s="47" t="s">
        <v>254</v>
      </c>
      <c r="AB3" s="47" t="s">
        <v>255</v>
      </c>
      <c r="AC3" s="47" t="s">
        <v>256</v>
      </c>
      <c r="AD3" s="47" t="s">
        <v>257</v>
      </c>
      <c r="AE3" s="47" t="s">
        <v>258</v>
      </c>
      <c r="AF3" s="47" t="s">
        <v>259</v>
      </c>
      <c r="AG3" s="47" t="s">
        <v>260</v>
      </c>
      <c r="AH3" s="47" t="s">
        <v>261</v>
      </c>
      <c r="AI3" s="47" t="s">
        <v>262</v>
      </c>
      <c r="AJ3" s="47" t="s">
        <v>263</v>
      </c>
      <c r="AK3" s="47" t="s">
        <v>264</v>
      </c>
      <c r="AL3" s="47" t="s">
        <v>265</v>
      </c>
      <c r="AM3" s="47" t="s">
        <v>266</v>
      </c>
      <c r="AN3" s="47" t="s">
        <v>267</v>
      </c>
      <c r="AO3" s="47" t="s">
        <v>268</v>
      </c>
      <c r="AP3" s="47" t="s">
        <v>269</v>
      </c>
      <c r="AQ3" s="47" t="s">
        <v>270</v>
      </c>
      <c r="AR3" s="47" t="s">
        <v>271</v>
      </c>
      <c r="AS3" s="47" t="s">
        <v>272</v>
      </c>
      <c r="AT3" s="47" t="s">
        <v>273</v>
      </c>
      <c r="AU3" s="47" t="s">
        <v>274</v>
      </c>
      <c r="AV3" s="47" t="s">
        <v>275</v>
      </c>
      <c r="AW3" s="47" t="s">
        <v>276</v>
      </c>
      <c r="AX3" s="47" t="s">
        <v>277</v>
      </c>
      <c r="AY3" s="47" t="s">
        <v>278</v>
      </c>
      <c r="AZ3" s="47" t="s">
        <v>279</v>
      </c>
      <c r="BA3" s="47" t="s">
        <v>280</v>
      </c>
      <c r="BB3" s="47" t="s">
        <v>281</v>
      </c>
      <c r="BC3" s="47" t="s">
        <v>282</v>
      </c>
      <c r="BD3" s="47" t="s">
        <v>283</v>
      </c>
      <c r="BE3" s="47" t="s">
        <v>284</v>
      </c>
      <c r="BF3" s="47" t="s">
        <v>285</v>
      </c>
      <c r="BG3" s="47" t="s">
        <v>286</v>
      </c>
      <c r="BH3" s="47" t="s">
        <v>287</v>
      </c>
      <c r="BI3" s="47" t="s">
        <v>288</v>
      </c>
      <c r="BJ3" s="47" t="s">
        <v>289</v>
      </c>
      <c r="BK3" s="47" t="s">
        <v>290</v>
      </c>
      <c r="BL3" s="47" t="s">
        <v>291</v>
      </c>
      <c r="BM3" s="47" t="s">
        <v>292</v>
      </c>
      <c r="BN3" s="47" t="s">
        <v>293</v>
      </c>
      <c r="BO3" s="47" t="s">
        <v>294</v>
      </c>
      <c r="BP3" s="47" t="s">
        <v>295</v>
      </c>
      <c r="BQ3" s="47" t="s">
        <v>296</v>
      </c>
      <c r="BR3" s="47" t="s">
        <v>297</v>
      </c>
      <c r="BS3" s="47" t="s">
        <v>298</v>
      </c>
      <c r="BT3" s="47" t="s">
        <v>299</v>
      </c>
      <c r="BU3" s="47" t="s">
        <v>300</v>
      </c>
      <c r="BV3" s="47" t="s">
        <v>301</v>
      </c>
      <c r="BW3" s="47" t="s">
        <v>302</v>
      </c>
      <c r="BX3" s="47" t="s">
        <v>303</v>
      </c>
      <c r="BY3" s="47" t="s">
        <v>304</v>
      </c>
      <c r="BZ3" s="47" t="s">
        <v>305</v>
      </c>
      <c r="CA3" s="47" t="s">
        <v>306</v>
      </c>
      <c r="CB3" s="47" t="s">
        <v>307</v>
      </c>
      <c r="CC3" s="47" t="s">
        <v>308</v>
      </c>
      <c r="CD3" s="47" t="s">
        <v>309</v>
      </c>
      <c r="CE3" s="47" t="s">
        <v>310</v>
      </c>
      <c r="CF3" s="47" t="s">
        <v>311</v>
      </c>
      <c r="CG3" s="47" t="s">
        <v>312</v>
      </c>
      <c r="CH3" s="47" t="s">
        <v>313</v>
      </c>
      <c r="CI3" s="47" t="s">
        <v>314</v>
      </c>
      <c r="CJ3" s="47" t="s">
        <v>315</v>
      </c>
      <c r="CK3" s="47" t="s">
        <v>316</v>
      </c>
      <c r="CL3" s="47" t="s">
        <v>317</v>
      </c>
      <c r="CM3" s="47" t="s">
        <v>318</v>
      </c>
      <c r="CN3" s="47" t="s">
        <v>319</v>
      </c>
      <c r="CO3" s="47" t="s">
        <v>320</v>
      </c>
      <c r="CP3" s="47" t="s">
        <v>321</v>
      </c>
      <c r="CQ3" s="47" t="s">
        <v>322</v>
      </c>
      <c r="CR3" s="47" t="s">
        <v>323</v>
      </c>
      <c r="CS3" s="47" t="s">
        <v>324</v>
      </c>
      <c r="CT3" s="47" t="s">
        <v>325</v>
      </c>
      <c r="CU3" s="47" t="s">
        <v>326</v>
      </c>
      <c r="CV3" s="47" t="s">
        <v>327</v>
      </c>
      <c r="CW3" s="47" t="s">
        <v>328</v>
      </c>
      <c r="CX3" s="47" t="s">
        <v>329</v>
      </c>
      <c r="CY3" s="47" t="s">
        <v>330</v>
      </c>
      <c r="CZ3" s="47" t="s">
        <v>331</v>
      </c>
      <c r="DA3" s="47" t="s">
        <v>332</v>
      </c>
      <c r="DB3" s="47" t="s">
        <v>333</v>
      </c>
      <c r="DC3" s="47" t="s">
        <v>334</v>
      </c>
      <c r="DD3" s="47" t="s">
        <v>335</v>
      </c>
      <c r="DE3" s="47" t="s">
        <v>336</v>
      </c>
      <c r="DF3" s="47" t="s">
        <v>337</v>
      </c>
      <c r="DG3" s="47" t="s">
        <v>338</v>
      </c>
      <c r="DH3" s="47" t="s">
        <v>339</v>
      </c>
      <c r="DI3" s="47" t="s">
        <v>340</v>
      </c>
      <c r="DJ3" s="47" t="s">
        <v>341</v>
      </c>
      <c r="DK3" s="47" t="s">
        <v>342</v>
      </c>
      <c r="DL3" s="47" t="s">
        <v>343</v>
      </c>
      <c r="DM3" s="47" t="s">
        <v>344</v>
      </c>
      <c r="DN3" s="47" t="s">
        <v>345</v>
      </c>
      <c r="DO3" s="47" t="s">
        <v>346</v>
      </c>
      <c r="DP3" s="47" t="s">
        <v>347</v>
      </c>
      <c r="DQ3" s="47" t="s">
        <v>348</v>
      </c>
      <c r="DR3" s="47" t="s">
        <v>349</v>
      </c>
      <c r="DS3" s="47" t="s">
        <v>350</v>
      </c>
      <c r="DT3" s="47" t="s">
        <v>351</v>
      </c>
      <c r="DU3" s="47" t="s">
        <v>352</v>
      </c>
      <c r="DV3" s="47" t="s">
        <v>353</v>
      </c>
      <c r="DW3" s="47" t="s">
        <v>354</v>
      </c>
      <c r="DX3" s="47" t="s">
        <v>355</v>
      </c>
      <c r="DY3" s="47" t="s">
        <v>356</v>
      </c>
      <c r="DZ3" s="46" t="s">
        <v>357</v>
      </c>
      <c r="EA3" s="46" t="s">
        <v>358</v>
      </c>
    </row>
    <row r="4" spans="1:131">
      <c r="A4" s="29" t="s">
        <v>359</v>
      </c>
    </row>
    <row r="5" spans="1:131">
      <c r="B5" s="29" t="s">
        <v>360</v>
      </c>
      <c r="D5" s="50">
        <v>7.3330000000000004E-5</v>
      </c>
      <c r="E5" s="50">
        <v>7.3330000000000004E-5</v>
      </c>
      <c r="F5" s="50">
        <v>7.3330000000000004E-5</v>
      </c>
      <c r="G5" s="50">
        <v>7.3330000000000004E-5</v>
      </c>
      <c r="H5" s="50">
        <v>7.3330000000000004E-5</v>
      </c>
      <c r="I5" s="50">
        <v>7.3330000000000004E-5</v>
      </c>
      <c r="J5" s="50">
        <v>7.3330000000000004E-5</v>
      </c>
      <c r="K5" s="50">
        <v>7.3330000000000004E-5</v>
      </c>
      <c r="L5" s="50">
        <v>7.3330000000000004E-5</v>
      </c>
      <c r="M5" s="50">
        <v>7.3330000000000004E-5</v>
      </c>
      <c r="N5" s="50">
        <v>7.3330000000000004E-5</v>
      </c>
      <c r="O5" s="50">
        <v>7.3330000000000004E-5</v>
      </c>
      <c r="P5" s="50">
        <v>7.3330000000000004E-5</v>
      </c>
      <c r="Q5" s="50">
        <v>7.3330000000000004E-5</v>
      </c>
      <c r="R5" s="50">
        <v>7.3330000000000004E-5</v>
      </c>
      <c r="S5" s="50">
        <v>7.3330000000000004E-5</v>
      </c>
      <c r="T5" s="50">
        <v>7.3330000000000004E-5</v>
      </c>
      <c r="U5" s="50">
        <v>7.3330000000000004E-5</v>
      </c>
      <c r="V5" s="50">
        <v>7.3330000000000004E-5</v>
      </c>
      <c r="W5" s="50">
        <v>5.1332999999999999E-4</v>
      </c>
      <c r="X5" s="50">
        <v>7.3330000000000004E-5</v>
      </c>
      <c r="Y5" s="50">
        <v>7.3330000000000004E-5</v>
      </c>
      <c r="Z5" s="50">
        <v>7.3330000000000004E-5</v>
      </c>
      <c r="AA5" s="50">
        <v>7.3330000000000004E-5</v>
      </c>
      <c r="AB5" s="50">
        <v>2.0871999999999999E-4</v>
      </c>
      <c r="AC5" s="50">
        <v>2.0871999999999999E-4</v>
      </c>
      <c r="AD5" s="50">
        <v>2.0871999999999999E-4</v>
      </c>
      <c r="AE5" s="50">
        <v>2.0871999999999999E-4</v>
      </c>
      <c r="AF5" s="50">
        <v>2.0871999999999999E-4</v>
      </c>
      <c r="AG5" s="50">
        <v>2.0871999999999999E-4</v>
      </c>
      <c r="AH5" s="50">
        <v>2.0871999999999999E-4</v>
      </c>
      <c r="AI5" s="50">
        <v>2.0871999999999999E-4</v>
      </c>
      <c r="AJ5" s="50">
        <v>2.0871999999999999E-4</v>
      </c>
      <c r="AK5" s="50">
        <v>2.0871999999999999E-4</v>
      </c>
      <c r="AL5" s="50">
        <v>2.0871999999999999E-4</v>
      </c>
      <c r="AM5" s="50">
        <v>2.0871999999999999E-4</v>
      </c>
      <c r="AN5" s="50">
        <v>1.3537999999999999E-4</v>
      </c>
      <c r="AO5" s="50">
        <v>5.1844E-4</v>
      </c>
      <c r="AP5" s="50">
        <v>5.1844E-4</v>
      </c>
      <c r="AQ5" s="50">
        <v>5.1844E-4</v>
      </c>
      <c r="AR5" s="50">
        <v>5.1844E-4</v>
      </c>
      <c r="AS5" s="50">
        <v>5.1844E-4</v>
      </c>
      <c r="AT5" s="50">
        <v>5.1844E-4</v>
      </c>
      <c r="AU5" s="50">
        <v>5.1844E-4</v>
      </c>
      <c r="AV5" s="50">
        <v>5.1844E-4</v>
      </c>
      <c r="AW5" s="50">
        <v>5.1844E-4</v>
      </c>
      <c r="AX5" s="50">
        <v>5.1844E-4</v>
      </c>
      <c r="AY5" s="50">
        <v>5.1844E-4</v>
      </c>
      <c r="AZ5" s="50">
        <v>5.1844E-4</v>
      </c>
      <c r="BA5" s="50">
        <v>5.1844E-4</v>
      </c>
      <c r="BB5" s="50">
        <v>3.8306000000000001E-4</v>
      </c>
      <c r="BC5" s="50">
        <v>3.8306000000000001E-4</v>
      </c>
      <c r="BD5" s="50">
        <v>3.8306000000000001E-4</v>
      </c>
      <c r="BE5" s="50">
        <v>3.8306000000000001E-4</v>
      </c>
      <c r="BF5" s="50">
        <v>0</v>
      </c>
      <c r="BG5" s="50">
        <v>0</v>
      </c>
      <c r="BH5" s="50">
        <v>0</v>
      </c>
      <c r="BI5" s="50">
        <v>0</v>
      </c>
      <c r="BJ5" s="50">
        <v>0</v>
      </c>
      <c r="BK5" s="50">
        <v>0</v>
      </c>
      <c r="BL5" s="50">
        <v>0</v>
      </c>
      <c r="BM5" s="50">
        <v>0</v>
      </c>
      <c r="BN5" s="50">
        <v>0</v>
      </c>
      <c r="BO5" s="50">
        <v>0</v>
      </c>
      <c r="BP5" s="50">
        <v>0</v>
      </c>
      <c r="BQ5" s="50">
        <v>0</v>
      </c>
      <c r="BR5" s="50">
        <v>1.6731700000000001E-3</v>
      </c>
      <c r="BS5" s="50">
        <v>1.6731700000000001E-3</v>
      </c>
      <c r="BT5" s="50">
        <v>1.6731700000000001E-3</v>
      </c>
      <c r="BU5" s="50">
        <v>1.6731700000000001E-3</v>
      </c>
      <c r="BV5" s="50">
        <v>1.6731700000000001E-3</v>
      </c>
      <c r="BW5" s="50">
        <v>1.6731700000000001E-3</v>
      </c>
      <c r="BX5" s="50">
        <v>1.6731700000000001E-3</v>
      </c>
      <c r="BY5" s="50">
        <v>1.6731700000000001E-3</v>
      </c>
      <c r="BZ5" s="50">
        <v>1.6731700000000001E-3</v>
      </c>
      <c r="CA5" s="50">
        <v>1.6731700000000001E-3</v>
      </c>
      <c r="CB5" s="50">
        <v>1.6731700000000001E-3</v>
      </c>
      <c r="CC5" s="50">
        <v>1.6731700000000001E-3</v>
      </c>
      <c r="CD5" s="50">
        <v>1.6731700000000001E-3</v>
      </c>
      <c r="CE5" s="50">
        <v>1.6731700000000001E-3</v>
      </c>
      <c r="CF5" s="50">
        <v>1.6731700000000001E-3</v>
      </c>
      <c r="CG5" s="50">
        <v>1.6731700000000001E-3</v>
      </c>
      <c r="CH5" s="50">
        <v>1.6731700000000001E-3</v>
      </c>
      <c r="CI5" s="50">
        <v>1.6731700000000001E-3</v>
      </c>
      <c r="CJ5" s="50">
        <v>6.5120999999999998E-3</v>
      </c>
      <c r="CK5" s="50">
        <v>1.135103E-2</v>
      </c>
      <c r="CL5" s="50">
        <v>1.6189950000000002E-2</v>
      </c>
      <c r="CM5" s="50">
        <v>2.102888E-2</v>
      </c>
      <c r="CN5" s="50">
        <v>2.58678E-2</v>
      </c>
      <c r="CO5" s="50">
        <v>3.0706730000000002E-2</v>
      </c>
      <c r="CP5" s="50">
        <v>3.4053369999999999E-2</v>
      </c>
      <c r="CQ5" s="50">
        <v>3.8892299999999998E-2</v>
      </c>
      <c r="CR5" s="50">
        <v>3.8892299999999998E-2</v>
      </c>
      <c r="CS5" s="50">
        <v>3.8892299999999998E-2</v>
      </c>
      <c r="CT5" s="50">
        <v>3.8892299999999998E-2</v>
      </c>
      <c r="CU5" s="50">
        <v>3.8892299999999998E-2</v>
      </c>
      <c r="CV5" s="50">
        <v>3.8892299999999998E-2</v>
      </c>
      <c r="CW5" s="50">
        <v>3.8892299999999998E-2</v>
      </c>
      <c r="CX5" s="50">
        <v>3.8892299999999998E-2</v>
      </c>
      <c r="CY5" s="50">
        <v>3.8892299999999998E-2</v>
      </c>
      <c r="CZ5" s="50">
        <v>3.8892299999999998E-2</v>
      </c>
      <c r="DA5" s="50">
        <v>3.8892299999999998E-2</v>
      </c>
      <c r="DB5" s="50">
        <v>3.8892299999999998E-2</v>
      </c>
      <c r="DC5" s="50">
        <v>3.8892299999999998E-2</v>
      </c>
      <c r="DD5" s="50">
        <v>3.8892299999999998E-2</v>
      </c>
      <c r="DE5" s="50">
        <v>3.4053369999999999E-2</v>
      </c>
      <c r="DF5" s="50">
        <v>2.9214440000000001E-2</v>
      </c>
      <c r="DG5" s="50">
        <v>2.4375520000000001E-2</v>
      </c>
      <c r="DH5" s="50">
        <v>2.4375520000000001E-2</v>
      </c>
      <c r="DI5" s="50">
        <v>2.024859E-2</v>
      </c>
      <c r="DJ5" s="50">
        <v>2.024859E-2</v>
      </c>
      <c r="DK5" s="50">
        <v>1.540966E-2</v>
      </c>
      <c r="DL5" s="50">
        <v>1.540966E-2</v>
      </c>
      <c r="DM5" s="50">
        <v>1.057073E-2</v>
      </c>
      <c r="DN5" s="50">
        <v>1.057073E-2</v>
      </c>
      <c r="DO5" s="50">
        <v>1.057073E-2</v>
      </c>
      <c r="DP5" s="50">
        <v>5.7318100000000004E-3</v>
      </c>
      <c r="DQ5" s="50">
        <v>5.7318100000000004E-3</v>
      </c>
      <c r="DR5" s="50">
        <v>5.7318100000000004E-3</v>
      </c>
      <c r="DS5" s="50">
        <v>3.4325990000000001E-2</v>
      </c>
      <c r="DT5" s="50">
        <v>0</v>
      </c>
      <c r="DU5" s="50">
        <v>0</v>
      </c>
      <c r="DV5" s="50">
        <v>0</v>
      </c>
      <c r="DW5" s="50">
        <v>0</v>
      </c>
      <c r="DX5" s="50">
        <v>0</v>
      </c>
      <c r="DY5" s="50">
        <v>2E-8</v>
      </c>
      <c r="DZ5" s="51">
        <f>SUM(D5:DY5)</f>
        <v>0.99999999999999978</v>
      </c>
    </row>
    <row r="6" spans="1:131">
      <c r="B6" s="34" t="s">
        <v>361</v>
      </c>
      <c r="D6" s="51">
        <f>D5</f>
        <v>7.3330000000000004E-5</v>
      </c>
      <c r="E6" s="51">
        <f t="shared" ref="E6:AJ6" si="0">D6+E5</f>
        <v>1.4666000000000001E-4</v>
      </c>
      <c r="F6" s="51">
        <f t="shared" si="0"/>
        <v>2.1999000000000001E-4</v>
      </c>
      <c r="G6" s="51">
        <f t="shared" si="0"/>
        <v>2.9332000000000002E-4</v>
      </c>
      <c r="H6" s="51">
        <f t="shared" si="0"/>
        <v>3.6665000000000005E-4</v>
      </c>
      <c r="I6" s="51">
        <f t="shared" si="0"/>
        <v>4.3998000000000008E-4</v>
      </c>
      <c r="J6" s="51">
        <f t="shared" si="0"/>
        <v>5.1331000000000011E-4</v>
      </c>
      <c r="K6" s="51">
        <f t="shared" si="0"/>
        <v>5.8664000000000014E-4</v>
      </c>
      <c r="L6" s="51">
        <f t="shared" si="0"/>
        <v>6.5997000000000017E-4</v>
      </c>
      <c r="M6" s="51">
        <f t="shared" si="0"/>
        <v>7.3330000000000021E-4</v>
      </c>
      <c r="N6" s="51">
        <f t="shared" si="0"/>
        <v>8.0663000000000024E-4</v>
      </c>
      <c r="O6" s="51">
        <f t="shared" si="0"/>
        <v>8.7996000000000027E-4</v>
      </c>
      <c r="P6" s="51">
        <f t="shared" si="0"/>
        <v>9.532900000000003E-4</v>
      </c>
      <c r="Q6" s="51">
        <f t="shared" si="0"/>
        <v>1.0266200000000002E-3</v>
      </c>
      <c r="R6" s="51">
        <f t="shared" si="0"/>
        <v>1.0999500000000001E-3</v>
      </c>
      <c r="S6" s="51">
        <f t="shared" si="0"/>
        <v>1.1732800000000001E-3</v>
      </c>
      <c r="T6" s="51">
        <f t="shared" si="0"/>
        <v>1.24661E-3</v>
      </c>
      <c r="U6" s="51">
        <f t="shared" si="0"/>
        <v>1.3199399999999999E-3</v>
      </c>
      <c r="V6" s="51">
        <f t="shared" si="0"/>
        <v>1.3932699999999998E-3</v>
      </c>
      <c r="W6" s="51">
        <f t="shared" si="0"/>
        <v>1.9065999999999998E-3</v>
      </c>
      <c r="X6" s="51">
        <f t="shared" si="0"/>
        <v>1.97993E-3</v>
      </c>
      <c r="Y6" s="51">
        <f t="shared" si="0"/>
        <v>2.0532599999999999E-3</v>
      </c>
      <c r="Z6" s="51">
        <f t="shared" si="0"/>
        <v>2.1265899999999998E-3</v>
      </c>
      <c r="AA6" s="51">
        <f t="shared" si="0"/>
        <v>2.1999199999999997E-3</v>
      </c>
      <c r="AB6" s="51">
        <f t="shared" si="0"/>
        <v>2.4086399999999997E-3</v>
      </c>
      <c r="AC6" s="51">
        <f t="shared" si="0"/>
        <v>2.6173599999999996E-3</v>
      </c>
      <c r="AD6" s="51">
        <f t="shared" si="0"/>
        <v>2.8260799999999995E-3</v>
      </c>
      <c r="AE6" s="51">
        <f t="shared" si="0"/>
        <v>3.0347999999999994E-3</v>
      </c>
      <c r="AF6" s="51">
        <f t="shared" si="0"/>
        <v>3.2435199999999993E-3</v>
      </c>
      <c r="AG6" s="51">
        <f t="shared" si="0"/>
        <v>3.4522399999999992E-3</v>
      </c>
      <c r="AH6" s="51">
        <f t="shared" si="0"/>
        <v>3.6609599999999991E-3</v>
      </c>
      <c r="AI6" s="51">
        <f t="shared" si="0"/>
        <v>3.869679999999999E-3</v>
      </c>
      <c r="AJ6" s="51">
        <f t="shared" si="0"/>
        <v>4.0783999999999994E-3</v>
      </c>
      <c r="AK6" s="51">
        <f t="shared" ref="AK6:BP6" si="1">AJ6+AK5</f>
        <v>4.2871199999999993E-3</v>
      </c>
      <c r="AL6" s="51">
        <f t="shared" si="1"/>
        <v>4.4958399999999992E-3</v>
      </c>
      <c r="AM6" s="51">
        <f t="shared" si="1"/>
        <v>4.7045599999999991E-3</v>
      </c>
      <c r="AN6" s="51">
        <f t="shared" si="1"/>
        <v>4.8399399999999992E-3</v>
      </c>
      <c r="AO6" s="51">
        <f t="shared" si="1"/>
        <v>5.3583799999999994E-3</v>
      </c>
      <c r="AP6" s="51">
        <f t="shared" si="1"/>
        <v>5.8768199999999996E-3</v>
      </c>
      <c r="AQ6" s="51">
        <f t="shared" si="1"/>
        <v>6.3952599999999998E-3</v>
      </c>
      <c r="AR6" s="51">
        <f t="shared" si="1"/>
        <v>6.9137000000000001E-3</v>
      </c>
      <c r="AS6" s="51">
        <f t="shared" si="1"/>
        <v>7.4321400000000003E-3</v>
      </c>
      <c r="AT6" s="51">
        <f t="shared" si="1"/>
        <v>7.9505800000000005E-3</v>
      </c>
      <c r="AU6" s="51">
        <f t="shared" si="1"/>
        <v>8.4690200000000007E-3</v>
      </c>
      <c r="AV6" s="51">
        <f t="shared" si="1"/>
        <v>8.9874600000000009E-3</v>
      </c>
      <c r="AW6" s="51">
        <f t="shared" si="1"/>
        <v>9.5059000000000012E-3</v>
      </c>
      <c r="AX6" s="51">
        <f t="shared" si="1"/>
        <v>1.0024340000000001E-2</v>
      </c>
      <c r="AY6" s="51">
        <f t="shared" si="1"/>
        <v>1.0542780000000002E-2</v>
      </c>
      <c r="AZ6" s="51">
        <f t="shared" si="1"/>
        <v>1.1061220000000002E-2</v>
      </c>
      <c r="BA6" s="51">
        <f t="shared" si="1"/>
        <v>1.1579660000000002E-2</v>
      </c>
      <c r="BB6" s="51">
        <f t="shared" si="1"/>
        <v>1.1962720000000001E-2</v>
      </c>
      <c r="BC6" s="51">
        <f t="shared" si="1"/>
        <v>1.2345780000000001E-2</v>
      </c>
      <c r="BD6" s="51">
        <f t="shared" si="1"/>
        <v>1.272884E-2</v>
      </c>
      <c r="BE6" s="51">
        <f t="shared" si="1"/>
        <v>1.3111899999999999E-2</v>
      </c>
      <c r="BF6" s="51">
        <f t="shared" si="1"/>
        <v>1.3111899999999999E-2</v>
      </c>
      <c r="BG6" s="51">
        <f t="shared" si="1"/>
        <v>1.3111899999999999E-2</v>
      </c>
      <c r="BH6" s="51">
        <f t="shared" si="1"/>
        <v>1.3111899999999999E-2</v>
      </c>
      <c r="BI6" s="51">
        <f t="shared" si="1"/>
        <v>1.3111899999999999E-2</v>
      </c>
      <c r="BJ6" s="51">
        <f t="shared" si="1"/>
        <v>1.3111899999999999E-2</v>
      </c>
      <c r="BK6" s="51">
        <f t="shared" si="1"/>
        <v>1.3111899999999999E-2</v>
      </c>
      <c r="BL6" s="51">
        <f t="shared" si="1"/>
        <v>1.3111899999999999E-2</v>
      </c>
      <c r="BM6" s="51">
        <f t="shared" si="1"/>
        <v>1.3111899999999999E-2</v>
      </c>
      <c r="BN6" s="51">
        <f t="shared" si="1"/>
        <v>1.3111899999999999E-2</v>
      </c>
      <c r="BO6" s="51">
        <f t="shared" si="1"/>
        <v>1.3111899999999999E-2</v>
      </c>
      <c r="BP6" s="51">
        <f t="shared" si="1"/>
        <v>1.3111899999999999E-2</v>
      </c>
      <c r="BQ6" s="51">
        <f t="shared" ref="BQ6:CV6" si="2">BP6+BQ5</f>
        <v>1.3111899999999999E-2</v>
      </c>
      <c r="BR6" s="51">
        <f t="shared" si="2"/>
        <v>1.4785069999999999E-2</v>
      </c>
      <c r="BS6" s="51">
        <f t="shared" si="2"/>
        <v>1.6458239999999999E-2</v>
      </c>
      <c r="BT6" s="51">
        <f t="shared" si="2"/>
        <v>1.8131410000000001E-2</v>
      </c>
      <c r="BU6" s="51">
        <f t="shared" si="2"/>
        <v>1.9804580000000002E-2</v>
      </c>
      <c r="BV6" s="51">
        <f t="shared" si="2"/>
        <v>2.1477750000000004E-2</v>
      </c>
      <c r="BW6" s="51">
        <f t="shared" si="2"/>
        <v>2.3150920000000005E-2</v>
      </c>
      <c r="BX6" s="51">
        <f t="shared" si="2"/>
        <v>2.4824090000000007E-2</v>
      </c>
      <c r="BY6" s="51">
        <f t="shared" si="2"/>
        <v>2.6497260000000009E-2</v>
      </c>
      <c r="BZ6" s="51">
        <f t="shared" si="2"/>
        <v>2.817043000000001E-2</v>
      </c>
      <c r="CA6" s="51">
        <f t="shared" si="2"/>
        <v>2.9843600000000012E-2</v>
      </c>
      <c r="CB6" s="51">
        <f t="shared" si="2"/>
        <v>3.1516770000000013E-2</v>
      </c>
      <c r="CC6" s="51">
        <f t="shared" si="2"/>
        <v>3.3189940000000015E-2</v>
      </c>
      <c r="CD6" s="51">
        <f t="shared" si="2"/>
        <v>3.4863110000000017E-2</v>
      </c>
      <c r="CE6" s="51">
        <f t="shared" si="2"/>
        <v>3.6536280000000018E-2</v>
      </c>
      <c r="CF6" s="51">
        <f t="shared" si="2"/>
        <v>3.820945000000002E-2</v>
      </c>
      <c r="CG6" s="51">
        <f t="shared" si="2"/>
        <v>3.9882620000000021E-2</v>
      </c>
      <c r="CH6" s="51">
        <f t="shared" si="2"/>
        <v>4.1555790000000023E-2</v>
      </c>
      <c r="CI6" s="51">
        <f t="shared" si="2"/>
        <v>4.3228960000000025E-2</v>
      </c>
      <c r="CJ6" s="51">
        <f t="shared" si="2"/>
        <v>4.9741060000000024E-2</v>
      </c>
      <c r="CK6" s="51">
        <f t="shared" si="2"/>
        <v>6.1092090000000022E-2</v>
      </c>
      <c r="CL6" s="51">
        <f t="shared" si="2"/>
        <v>7.7282040000000024E-2</v>
      </c>
      <c r="CM6" s="51">
        <f t="shared" si="2"/>
        <v>9.8310920000000024E-2</v>
      </c>
      <c r="CN6" s="51">
        <f t="shared" si="2"/>
        <v>0.12417872000000002</v>
      </c>
      <c r="CO6" s="51">
        <f t="shared" si="2"/>
        <v>0.15488545000000004</v>
      </c>
      <c r="CP6" s="51">
        <f t="shared" si="2"/>
        <v>0.18893882000000004</v>
      </c>
      <c r="CQ6" s="51">
        <f t="shared" si="2"/>
        <v>0.22783112000000003</v>
      </c>
      <c r="CR6" s="51">
        <f t="shared" si="2"/>
        <v>0.26672342000000004</v>
      </c>
      <c r="CS6" s="51">
        <f t="shared" si="2"/>
        <v>0.30561572000000004</v>
      </c>
      <c r="CT6" s="51">
        <f t="shared" si="2"/>
        <v>0.34450802000000003</v>
      </c>
      <c r="CU6" s="51">
        <f t="shared" si="2"/>
        <v>0.38340032000000002</v>
      </c>
      <c r="CV6" s="51">
        <f t="shared" si="2"/>
        <v>0.42229262000000001</v>
      </c>
      <c r="CW6" s="51">
        <f t="shared" ref="CW6:EB6" si="3">CV6+CW5</f>
        <v>0.46118492</v>
      </c>
      <c r="CX6" s="51">
        <f t="shared" si="3"/>
        <v>0.50007721999999999</v>
      </c>
      <c r="CY6" s="51">
        <f t="shared" si="3"/>
        <v>0.53896951999999998</v>
      </c>
      <c r="CZ6" s="51">
        <f t="shared" si="3"/>
        <v>0.57786181999999997</v>
      </c>
      <c r="DA6" s="51">
        <f t="shared" si="3"/>
        <v>0.61675411999999996</v>
      </c>
      <c r="DB6" s="51">
        <f t="shared" si="3"/>
        <v>0.65564641999999995</v>
      </c>
      <c r="DC6" s="51">
        <f t="shared" si="3"/>
        <v>0.69453871999999994</v>
      </c>
      <c r="DD6" s="51">
        <f t="shared" si="3"/>
        <v>0.73343101999999993</v>
      </c>
      <c r="DE6" s="51">
        <f t="shared" si="3"/>
        <v>0.76748438999999991</v>
      </c>
      <c r="DF6" s="51">
        <f t="shared" si="3"/>
        <v>0.79669882999999986</v>
      </c>
      <c r="DG6" s="51">
        <f t="shared" si="3"/>
        <v>0.82107434999999984</v>
      </c>
      <c r="DH6" s="51">
        <f t="shared" si="3"/>
        <v>0.84544986999999983</v>
      </c>
      <c r="DI6" s="51">
        <f t="shared" si="3"/>
        <v>0.86569845999999984</v>
      </c>
      <c r="DJ6" s="51">
        <f t="shared" si="3"/>
        <v>0.88594704999999985</v>
      </c>
      <c r="DK6" s="51">
        <f t="shared" si="3"/>
        <v>0.90135670999999984</v>
      </c>
      <c r="DL6" s="51">
        <f t="shared" si="3"/>
        <v>0.91676636999999983</v>
      </c>
      <c r="DM6" s="51">
        <f t="shared" si="3"/>
        <v>0.9273370999999998</v>
      </c>
      <c r="DN6" s="51">
        <f t="shared" si="3"/>
        <v>0.93790782999999978</v>
      </c>
      <c r="DO6" s="51">
        <f t="shared" si="3"/>
        <v>0.94847855999999975</v>
      </c>
      <c r="DP6" s="51">
        <f t="shared" si="3"/>
        <v>0.95421036999999975</v>
      </c>
      <c r="DQ6" s="51">
        <f t="shared" si="3"/>
        <v>0.95994217999999976</v>
      </c>
      <c r="DR6" s="51">
        <f t="shared" si="3"/>
        <v>0.96567398999999976</v>
      </c>
      <c r="DS6" s="51">
        <f t="shared" si="3"/>
        <v>0.99999997999999979</v>
      </c>
      <c r="DT6" s="51">
        <f t="shared" si="3"/>
        <v>0.99999997999999979</v>
      </c>
      <c r="DU6" s="51">
        <f t="shared" si="3"/>
        <v>0.99999997999999979</v>
      </c>
      <c r="DV6" s="51">
        <f t="shared" si="3"/>
        <v>0.99999997999999979</v>
      </c>
      <c r="DW6" s="51">
        <f t="shared" si="3"/>
        <v>0.99999997999999979</v>
      </c>
      <c r="DX6" s="51">
        <f t="shared" si="3"/>
        <v>0.99999997999999979</v>
      </c>
      <c r="DY6" s="51">
        <f t="shared" si="3"/>
        <v>0.99999999999999978</v>
      </c>
    </row>
    <row r="7" spans="1:131">
      <c r="B7" s="29" t="s">
        <v>362</v>
      </c>
      <c r="D7" s="50">
        <v>0</v>
      </c>
      <c r="E7" s="50">
        <v>0</v>
      </c>
      <c r="F7" s="50">
        <v>0</v>
      </c>
      <c r="G7" s="50">
        <v>0</v>
      </c>
      <c r="H7" s="50">
        <v>0</v>
      </c>
      <c r="I7" s="50">
        <v>0</v>
      </c>
      <c r="J7" s="50">
        <v>0</v>
      </c>
      <c r="K7" s="50">
        <v>0</v>
      </c>
      <c r="L7" s="50">
        <v>0</v>
      </c>
      <c r="M7" s="50">
        <v>0</v>
      </c>
      <c r="N7" s="50">
        <v>0</v>
      </c>
      <c r="O7" s="50">
        <v>0</v>
      </c>
      <c r="P7" s="50">
        <v>0</v>
      </c>
      <c r="Q7" s="50">
        <v>0</v>
      </c>
      <c r="R7" s="50">
        <v>0</v>
      </c>
      <c r="S7" s="50">
        <v>0</v>
      </c>
      <c r="T7" s="50">
        <v>0</v>
      </c>
      <c r="U7" s="50">
        <v>0</v>
      </c>
      <c r="V7" s="50">
        <v>0</v>
      </c>
      <c r="W7" s="50">
        <v>0</v>
      </c>
      <c r="X7" s="50">
        <v>0</v>
      </c>
      <c r="Y7" s="50">
        <v>0</v>
      </c>
      <c r="Z7" s="50">
        <v>0</v>
      </c>
      <c r="AA7" s="50">
        <v>0</v>
      </c>
      <c r="AB7" s="50">
        <v>0</v>
      </c>
      <c r="AC7" s="50">
        <v>0</v>
      </c>
      <c r="AD7" s="50">
        <v>0</v>
      </c>
      <c r="AE7" s="50">
        <v>0</v>
      </c>
      <c r="AF7" s="50">
        <v>0</v>
      </c>
      <c r="AG7" s="50">
        <v>0</v>
      </c>
      <c r="AH7" s="50">
        <v>0</v>
      </c>
      <c r="AI7" s="50">
        <v>0</v>
      </c>
      <c r="AJ7" s="50">
        <v>0</v>
      </c>
      <c r="AK7" s="50">
        <v>0</v>
      </c>
      <c r="AL7" s="50">
        <v>0</v>
      </c>
      <c r="AM7" s="50">
        <v>0</v>
      </c>
      <c r="AN7" s="50">
        <v>0</v>
      </c>
      <c r="AO7" s="50">
        <v>0</v>
      </c>
      <c r="AP7" s="50">
        <v>0</v>
      </c>
      <c r="AQ7" s="50">
        <v>0</v>
      </c>
      <c r="AR7" s="50">
        <v>0</v>
      </c>
      <c r="AS7" s="50">
        <v>0</v>
      </c>
      <c r="AT7" s="50">
        <v>0</v>
      </c>
      <c r="AU7" s="50">
        <v>0</v>
      </c>
      <c r="AV7" s="50">
        <v>0</v>
      </c>
      <c r="AW7" s="50">
        <v>0</v>
      </c>
      <c r="AX7" s="50">
        <v>0</v>
      </c>
      <c r="AY7" s="50">
        <v>0</v>
      </c>
      <c r="AZ7" s="50">
        <v>0</v>
      </c>
      <c r="BA7" s="50">
        <v>0</v>
      </c>
      <c r="BB7" s="50">
        <v>0</v>
      </c>
      <c r="BC7" s="50">
        <v>0</v>
      </c>
      <c r="BD7" s="50">
        <v>0</v>
      </c>
      <c r="BE7" s="50">
        <v>0</v>
      </c>
      <c r="BF7" s="50">
        <v>0</v>
      </c>
      <c r="BG7" s="50">
        <v>0</v>
      </c>
      <c r="BH7" s="50">
        <v>0</v>
      </c>
      <c r="BI7" s="50">
        <v>0</v>
      </c>
      <c r="BJ7" s="50">
        <v>0</v>
      </c>
      <c r="BK7" s="50">
        <v>0</v>
      </c>
      <c r="BL7" s="50">
        <v>0</v>
      </c>
      <c r="BM7" s="50">
        <v>0</v>
      </c>
      <c r="BN7" s="50">
        <v>0</v>
      </c>
      <c r="BO7" s="50">
        <v>0</v>
      </c>
      <c r="BP7" s="50">
        <v>0</v>
      </c>
      <c r="BQ7" s="50">
        <v>0</v>
      </c>
      <c r="BR7" s="50">
        <v>0</v>
      </c>
      <c r="BS7" s="50">
        <v>0</v>
      </c>
      <c r="BT7" s="50">
        <v>0</v>
      </c>
      <c r="BU7" s="50">
        <v>0</v>
      </c>
      <c r="BV7" s="50">
        <v>0</v>
      </c>
      <c r="BW7" s="50">
        <v>0</v>
      </c>
      <c r="BX7" s="50">
        <v>0</v>
      </c>
      <c r="BY7" s="50">
        <v>0</v>
      </c>
      <c r="BZ7" s="50">
        <v>0</v>
      </c>
      <c r="CA7" s="50">
        <v>0</v>
      </c>
      <c r="CB7" s="50">
        <v>0</v>
      </c>
      <c r="CC7" s="50">
        <v>0</v>
      </c>
      <c r="CD7" s="50">
        <v>0</v>
      </c>
      <c r="CE7" s="50">
        <v>0</v>
      </c>
      <c r="CF7" s="50">
        <v>0</v>
      </c>
      <c r="CG7" s="50">
        <v>0</v>
      </c>
      <c r="CH7" s="50">
        <v>0</v>
      </c>
      <c r="CI7" s="50">
        <v>0</v>
      </c>
      <c r="CJ7" s="50">
        <v>0.11333333</v>
      </c>
      <c r="CK7" s="50">
        <v>0.11333333</v>
      </c>
      <c r="CL7" s="50">
        <v>0.11333333</v>
      </c>
      <c r="CM7" s="50">
        <v>3.6666669999999998E-2</v>
      </c>
      <c r="CN7" s="50">
        <v>3.6666669999999998E-2</v>
      </c>
      <c r="CO7" s="50">
        <v>3.6666669999999998E-2</v>
      </c>
      <c r="CP7" s="50">
        <v>0.02</v>
      </c>
      <c r="CQ7" s="50">
        <v>0.02</v>
      </c>
      <c r="CR7" s="50">
        <v>0.02</v>
      </c>
      <c r="CS7" s="50">
        <v>0.02</v>
      </c>
      <c r="CT7" s="50">
        <v>0.02</v>
      </c>
      <c r="CU7" s="50">
        <v>0.02</v>
      </c>
      <c r="CV7" s="50">
        <v>1.3333329999999999E-2</v>
      </c>
      <c r="CW7" s="50">
        <v>1.3333329999999999E-2</v>
      </c>
      <c r="CX7" s="50">
        <v>1.3333329999999999E-2</v>
      </c>
      <c r="CY7" s="50">
        <v>1.3333329999999999E-2</v>
      </c>
      <c r="CZ7" s="50">
        <v>1.3333329999999999E-2</v>
      </c>
      <c r="DA7" s="50">
        <v>1.3333329999999999E-2</v>
      </c>
      <c r="DB7" s="50">
        <v>1.3333329999999999E-2</v>
      </c>
      <c r="DC7" s="50">
        <v>1.3333329999999999E-2</v>
      </c>
      <c r="DD7" s="50">
        <v>1.3333329999999999E-2</v>
      </c>
      <c r="DE7" s="50">
        <v>1.3333329999999999E-2</v>
      </c>
      <c r="DF7" s="50">
        <v>1.3333329999999999E-2</v>
      </c>
      <c r="DG7" s="50">
        <v>1.3333329999999999E-2</v>
      </c>
      <c r="DH7" s="50">
        <v>1.6666670000000001E-2</v>
      </c>
      <c r="DI7" s="50">
        <v>1.6666670000000001E-2</v>
      </c>
      <c r="DJ7" s="50">
        <v>1.6666670000000001E-2</v>
      </c>
      <c r="DK7" s="50">
        <v>1.3333329999999999E-2</v>
      </c>
      <c r="DL7" s="50">
        <v>1.3333329999999999E-2</v>
      </c>
      <c r="DM7" s="50">
        <v>1.3333329999999999E-2</v>
      </c>
      <c r="DN7" s="50">
        <v>0.02</v>
      </c>
      <c r="DO7" s="50">
        <v>0.02</v>
      </c>
      <c r="DP7" s="50">
        <v>0.02</v>
      </c>
      <c r="DQ7" s="50">
        <v>0.02</v>
      </c>
      <c r="DR7" s="50">
        <v>0.02</v>
      </c>
      <c r="DS7" s="50">
        <v>0.02</v>
      </c>
      <c r="DT7" s="50">
        <v>0.02</v>
      </c>
      <c r="DU7" s="50">
        <v>0.02</v>
      </c>
      <c r="DV7" s="50">
        <v>0.02</v>
      </c>
      <c r="DW7" s="50">
        <v>0</v>
      </c>
      <c r="DX7" s="50">
        <v>0</v>
      </c>
      <c r="DY7" s="50">
        <v>4.0000000000000001E-8</v>
      </c>
      <c r="DZ7" s="51">
        <f>SUM(D7:DY7)</f>
        <v>1.0000000000000007</v>
      </c>
    </row>
    <row r="8" spans="1:131">
      <c r="B8" s="34" t="s">
        <v>363</v>
      </c>
      <c r="D8" s="51">
        <f>D7</f>
        <v>0</v>
      </c>
      <c r="E8" s="51">
        <f t="shared" ref="E8:AJ8" si="4">D8+E7</f>
        <v>0</v>
      </c>
      <c r="F8" s="51">
        <f t="shared" si="4"/>
        <v>0</v>
      </c>
      <c r="G8" s="51">
        <f t="shared" si="4"/>
        <v>0</v>
      </c>
      <c r="H8" s="51">
        <f t="shared" si="4"/>
        <v>0</v>
      </c>
      <c r="I8" s="51">
        <f t="shared" si="4"/>
        <v>0</v>
      </c>
      <c r="J8" s="51">
        <f t="shared" si="4"/>
        <v>0</v>
      </c>
      <c r="K8" s="51">
        <f t="shared" si="4"/>
        <v>0</v>
      </c>
      <c r="L8" s="51">
        <f t="shared" si="4"/>
        <v>0</v>
      </c>
      <c r="M8" s="51">
        <f t="shared" si="4"/>
        <v>0</v>
      </c>
      <c r="N8" s="51">
        <f t="shared" si="4"/>
        <v>0</v>
      </c>
      <c r="O8" s="51">
        <f t="shared" si="4"/>
        <v>0</v>
      </c>
      <c r="P8" s="51">
        <f t="shared" si="4"/>
        <v>0</v>
      </c>
      <c r="Q8" s="51">
        <f t="shared" si="4"/>
        <v>0</v>
      </c>
      <c r="R8" s="51">
        <f t="shared" si="4"/>
        <v>0</v>
      </c>
      <c r="S8" s="51">
        <f t="shared" si="4"/>
        <v>0</v>
      </c>
      <c r="T8" s="51">
        <f t="shared" si="4"/>
        <v>0</v>
      </c>
      <c r="U8" s="51">
        <f t="shared" si="4"/>
        <v>0</v>
      </c>
      <c r="V8" s="51">
        <f t="shared" si="4"/>
        <v>0</v>
      </c>
      <c r="W8" s="51">
        <f t="shared" si="4"/>
        <v>0</v>
      </c>
      <c r="X8" s="51">
        <f t="shared" si="4"/>
        <v>0</v>
      </c>
      <c r="Y8" s="51">
        <f t="shared" si="4"/>
        <v>0</v>
      </c>
      <c r="Z8" s="51">
        <f t="shared" si="4"/>
        <v>0</v>
      </c>
      <c r="AA8" s="51">
        <f t="shared" si="4"/>
        <v>0</v>
      </c>
      <c r="AB8" s="51">
        <f t="shared" si="4"/>
        <v>0</v>
      </c>
      <c r="AC8" s="51">
        <f t="shared" si="4"/>
        <v>0</v>
      </c>
      <c r="AD8" s="51">
        <f t="shared" si="4"/>
        <v>0</v>
      </c>
      <c r="AE8" s="51">
        <f t="shared" si="4"/>
        <v>0</v>
      </c>
      <c r="AF8" s="51">
        <f t="shared" si="4"/>
        <v>0</v>
      </c>
      <c r="AG8" s="51">
        <f t="shared" si="4"/>
        <v>0</v>
      </c>
      <c r="AH8" s="51">
        <f t="shared" si="4"/>
        <v>0</v>
      </c>
      <c r="AI8" s="51">
        <f t="shared" si="4"/>
        <v>0</v>
      </c>
      <c r="AJ8" s="51">
        <f t="shared" si="4"/>
        <v>0</v>
      </c>
      <c r="AK8" s="51">
        <f t="shared" ref="AK8:BP8" si="5">AJ8+AK7</f>
        <v>0</v>
      </c>
      <c r="AL8" s="51">
        <f t="shared" si="5"/>
        <v>0</v>
      </c>
      <c r="AM8" s="51">
        <f t="shared" si="5"/>
        <v>0</v>
      </c>
      <c r="AN8" s="51">
        <f t="shared" si="5"/>
        <v>0</v>
      </c>
      <c r="AO8" s="51">
        <f t="shared" si="5"/>
        <v>0</v>
      </c>
      <c r="AP8" s="51">
        <f t="shared" si="5"/>
        <v>0</v>
      </c>
      <c r="AQ8" s="51">
        <f t="shared" si="5"/>
        <v>0</v>
      </c>
      <c r="AR8" s="51">
        <f t="shared" si="5"/>
        <v>0</v>
      </c>
      <c r="AS8" s="51">
        <f t="shared" si="5"/>
        <v>0</v>
      </c>
      <c r="AT8" s="51">
        <f t="shared" si="5"/>
        <v>0</v>
      </c>
      <c r="AU8" s="51">
        <f t="shared" si="5"/>
        <v>0</v>
      </c>
      <c r="AV8" s="51">
        <f t="shared" si="5"/>
        <v>0</v>
      </c>
      <c r="AW8" s="51">
        <f t="shared" si="5"/>
        <v>0</v>
      </c>
      <c r="AX8" s="51">
        <f t="shared" si="5"/>
        <v>0</v>
      </c>
      <c r="AY8" s="51">
        <f t="shared" si="5"/>
        <v>0</v>
      </c>
      <c r="AZ8" s="51">
        <f t="shared" si="5"/>
        <v>0</v>
      </c>
      <c r="BA8" s="51">
        <f t="shared" si="5"/>
        <v>0</v>
      </c>
      <c r="BB8" s="51">
        <f t="shared" si="5"/>
        <v>0</v>
      </c>
      <c r="BC8" s="51">
        <f t="shared" si="5"/>
        <v>0</v>
      </c>
      <c r="BD8" s="51">
        <f t="shared" si="5"/>
        <v>0</v>
      </c>
      <c r="BE8" s="51">
        <f t="shared" si="5"/>
        <v>0</v>
      </c>
      <c r="BF8" s="51">
        <f t="shared" si="5"/>
        <v>0</v>
      </c>
      <c r="BG8" s="51">
        <f t="shared" si="5"/>
        <v>0</v>
      </c>
      <c r="BH8" s="51">
        <f t="shared" si="5"/>
        <v>0</v>
      </c>
      <c r="BI8" s="51">
        <f t="shared" si="5"/>
        <v>0</v>
      </c>
      <c r="BJ8" s="51">
        <f t="shared" si="5"/>
        <v>0</v>
      </c>
      <c r="BK8" s="51">
        <f t="shared" si="5"/>
        <v>0</v>
      </c>
      <c r="BL8" s="51">
        <f t="shared" si="5"/>
        <v>0</v>
      </c>
      <c r="BM8" s="51">
        <f t="shared" si="5"/>
        <v>0</v>
      </c>
      <c r="BN8" s="51">
        <f t="shared" si="5"/>
        <v>0</v>
      </c>
      <c r="BO8" s="51">
        <f t="shared" si="5"/>
        <v>0</v>
      </c>
      <c r="BP8" s="51">
        <f t="shared" si="5"/>
        <v>0</v>
      </c>
      <c r="BQ8" s="51">
        <f t="shared" ref="BQ8:CV8" si="6">BP8+BQ7</f>
        <v>0</v>
      </c>
      <c r="BR8" s="51">
        <f t="shared" si="6"/>
        <v>0</v>
      </c>
      <c r="BS8" s="51">
        <f t="shared" si="6"/>
        <v>0</v>
      </c>
      <c r="BT8" s="51">
        <f t="shared" si="6"/>
        <v>0</v>
      </c>
      <c r="BU8" s="51">
        <f t="shared" si="6"/>
        <v>0</v>
      </c>
      <c r="BV8" s="51">
        <f t="shared" si="6"/>
        <v>0</v>
      </c>
      <c r="BW8" s="51">
        <f t="shared" si="6"/>
        <v>0</v>
      </c>
      <c r="BX8" s="51">
        <f t="shared" si="6"/>
        <v>0</v>
      </c>
      <c r="BY8" s="51">
        <f t="shared" si="6"/>
        <v>0</v>
      </c>
      <c r="BZ8" s="51">
        <f t="shared" si="6"/>
        <v>0</v>
      </c>
      <c r="CA8" s="51">
        <f t="shared" si="6"/>
        <v>0</v>
      </c>
      <c r="CB8" s="51">
        <f t="shared" si="6"/>
        <v>0</v>
      </c>
      <c r="CC8" s="51">
        <f t="shared" si="6"/>
        <v>0</v>
      </c>
      <c r="CD8" s="51">
        <f t="shared" si="6"/>
        <v>0</v>
      </c>
      <c r="CE8" s="51">
        <f t="shared" si="6"/>
        <v>0</v>
      </c>
      <c r="CF8" s="51">
        <f t="shared" si="6"/>
        <v>0</v>
      </c>
      <c r="CG8" s="51">
        <f t="shared" si="6"/>
        <v>0</v>
      </c>
      <c r="CH8" s="51">
        <f t="shared" si="6"/>
        <v>0</v>
      </c>
      <c r="CI8" s="51">
        <f t="shared" si="6"/>
        <v>0</v>
      </c>
      <c r="CJ8" s="51">
        <f t="shared" si="6"/>
        <v>0.11333333</v>
      </c>
      <c r="CK8" s="51">
        <f t="shared" si="6"/>
        <v>0.22666665999999999</v>
      </c>
      <c r="CL8" s="51">
        <f t="shared" si="6"/>
        <v>0.33999998999999997</v>
      </c>
      <c r="CM8" s="51">
        <f t="shared" si="6"/>
        <v>0.37666665999999999</v>
      </c>
      <c r="CN8" s="51">
        <f t="shared" si="6"/>
        <v>0.41333333</v>
      </c>
      <c r="CO8" s="51">
        <f t="shared" si="6"/>
        <v>0.45</v>
      </c>
      <c r="CP8" s="51">
        <f t="shared" si="6"/>
        <v>0.47000000000000003</v>
      </c>
      <c r="CQ8" s="51">
        <f t="shared" si="6"/>
        <v>0.49000000000000005</v>
      </c>
      <c r="CR8" s="51">
        <f t="shared" si="6"/>
        <v>0.51</v>
      </c>
      <c r="CS8" s="51">
        <f t="shared" si="6"/>
        <v>0.53</v>
      </c>
      <c r="CT8" s="51">
        <f t="shared" si="6"/>
        <v>0.55000000000000004</v>
      </c>
      <c r="CU8" s="51">
        <f t="shared" si="6"/>
        <v>0.57000000000000006</v>
      </c>
      <c r="CV8" s="51">
        <f t="shared" si="6"/>
        <v>0.58333333000000009</v>
      </c>
      <c r="CW8" s="51">
        <f t="shared" ref="CW8:EB8" si="7">CV8+CW7</f>
        <v>0.59666666000000013</v>
      </c>
      <c r="CX8" s="51">
        <f t="shared" si="7"/>
        <v>0.60999999000000016</v>
      </c>
      <c r="CY8" s="51">
        <f t="shared" si="7"/>
        <v>0.62333332000000019</v>
      </c>
      <c r="CZ8" s="51">
        <f t="shared" si="7"/>
        <v>0.63666665000000022</v>
      </c>
      <c r="DA8" s="51">
        <f t="shared" si="7"/>
        <v>0.64999998000000025</v>
      </c>
      <c r="DB8" s="51">
        <f t="shared" si="7"/>
        <v>0.66333331000000029</v>
      </c>
      <c r="DC8" s="51">
        <f t="shared" si="7"/>
        <v>0.67666664000000032</v>
      </c>
      <c r="DD8" s="51">
        <f t="shared" si="7"/>
        <v>0.68999997000000035</v>
      </c>
      <c r="DE8" s="51">
        <f t="shared" si="7"/>
        <v>0.70333330000000038</v>
      </c>
      <c r="DF8" s="51">
        <f t="shared" si="7"/>
        <v>0.71666663000000042</v>
      </c>
      <c r="DG8" s="51">
        <f t="shared" si="7"/>
        <v>0.72999996000000045</v>
      </c>
      <c r="DH8" s="51">
        <f t="shared" si="7"/>
        <v>0.74666663000000044</v>
      </c>
      <c r="DI8" s="51">
        <f t="shared" si="7"/>
        <v>0.76333330000000044</v>
      </c>
      <c r="DJ8" s="51">
        <f t="shared" si="7"/>
        <v>0.77999997000000043</v>
      </c>
      <c r="DK8" s="51">
        <f t="shared" si="7"/>
        <v>0.79333330000000046</v>
      </c>
      <c r="DL8" s="51">
        <f t="shared" si="7"/>
        <v>0.8066666300000005</v>
      </c>
      <c r="DM8" s="51">
        <f t="shared" si="7"/>
        <v>0.81999996000000053</v>
      </c>
      <c r="DN8" s="51">
        <f t="shared" si="7"/>
        <v>0.83999996000000055</v>
      </c>
      <c r="DO8" s="51">
        <f t="shared" si="7"/>
        <v>0.85999996000000056</v>
      </c>
      <c r="DP8" s="51">
        <f t="shared" si="7"/>
        <v>0.87999996000000058</v>
      </c>
      <c r="DQ8" s="51">
        <f t="shared" si="7"/>
        <v>0.8999999600000006</v>
      </c>
      <c r="DR8" s="51">
        <f t="shared" si="7"/>
        <v>0.91999996000000062</v>
      </c>
      <c r="DS8" s="51">
        <f t="shared" si="7"/>
        <v>0.93999996000000063</v>
      </c>
      <c r="DT8" s="51">
        <f t="shared" si="7"/>
        <v>0.95999996000000065</v>
      </c>
      <c r="DU8" s="51">
        <f t="shared" si="7"/>
        <v>0.97999996000000067</v>
      </c>
      <c r="DV8" s="51">
        <f t="shared" si="7"/>
        <v>0.99999996000000069</v>
      </c>
      <c r="DW8" s="51">
        <f t="shared" si="7"/>
        <v>0.99999996000000069</v>
      </c>
      <c r="DX8" s="51">
        <f t="shared" si="7"/>
        <v>0.99999996000000069</v>
      </c>
      <c r="DY8" s="51">
        <f t="shared" si="7"/>
        <v>1.0000000000000007</v>
      </c>
    </row>
    <row r="10" spans="1:131">
      <c r="A10" s="29" t="s">
        <v>364</v>
      </c>
    </row>
    <row r="11" spans="1:131">
      <c r="B11" s="34" t="s">
        <v>365</v>
      </c>
      <c r="C11" s="43">
        <f>'01_사업수지'!E11*0.1</f>
        <v>110580600</v>
      </c>
      <c r="D11" s="43">
        <f>$C11*D8</f>
        <v>0</v>
      </c>
      <c r="E11" s="43">
        <f t="shared" ref="E11:AJ11" si="8">$C11*E7</f>
        <v>0</v>
      </c>
      <c r="F11" s="43">
        <f t="shared" si="8"/>
        <v>0</v>
      </c>
      <c r="G11" s="43">
        <f t="shared" si="8"/>
        <v>0</v>
      </c>
      <c r="H11" s="43">
        <f t="shared" si="8"/>
        <v>0</v>
      </c>
      <c r="I11" s="43">
        <f t="shared" si="8"/>
        <v>0</v>
      </c>
      <c r="J11" s="43">
        <f t="shared" si="8"/>
        <v>0</v>
      </c>
      <c r="K11" s="43">
        <f t="shared" si="8"/>
        <v>0</v>
      </c>
      <c r="L11" s="43">
        <f t="shared" si="8"/>
        <v>0</v>
      </c>
      <c r="M11" s="43">
        <f t="shared" si="8"/>
        <v>0</v>
      </c>
      <c r="N11" s="43">
        <f t="shared" si="8"/>
        <v>0</v>
      </c>
      <c r="O11" s="43">
        <f t="shared" si="8"/>
        <v>0</v>
      </c>
      <c r="P11" s="43">
        <f t="shared" si="8"/>
        <v>0</v>
      </c>
      <c r="Q11" s="43">
        <f t="shared" si="8"/>
        <v>0</v>
      </c>
      <c r="R11" s="43">
        <f t="shared" si="8"/>
        <v>0</v>
      </c>
      <c r="S11" s="43">
        <f t="shared" si="8"/>
        <v>0</v>
      </c>
      <c r="T11" s="43">
        <f t="shared" si="8"/>
        <v>0</v>
      </c>
      <c r="U11" s="43">
        <f t="shared" si="8"/>
        <v>0</v>
      </c>
      <c r="V11" s="43">
        <f t="shared" si="8"/>
        <v>0</v>
      </c>
      <c r="W11" s="43">
        <f t="shared" si="8"/>
        <v>0</v>
      </c>
      <c r="X11" s="43">
        <f t="shared" si="8"/>
        <v>0</v>
      </c>
      <c r="Y11" s="43">
        <f t="shared" si="8"/>
        <v>0</v>
      </c>
      <c r="Z11" s="43">
        <f t="shared" si="8"/>
        <v>0</v>
      </c>
      <c r="AA11" s="43">
        <f t="shared" si="8"/>
        <v>0</v>
      </c>
      <c r="AB11" s="43">
        <f t="shared" si="8"/>
        <v>0</v>
      </c>
      <c r="AC11" s="43">
        <f t="shared" si="8"/>
        <v>0</v>
      </c>
      <c r="AD11" s="43">
        <f t="shared" si="8"/>
        <v>0</v>
      </c>
      <c r="AE11" s="43">
        <f t="shared" si="8"/>
        <v>0</v>
      </c>
      <c r="AF11" s="43">
        <f t="shared" si="8"/>
        <v>0</v>
      </c>
      <c r="AG11" s="43">
        <f t="shared" si="8"/>
        <v>0</v>
      </c>
      <c r="AH11" s="43">
        <f t="shared" si="8"/>
        <v>0</v>
      </c>
      <c r="AI11" s="43">
        <f t="shared" si="8"/>
        <v>0</v>
      </c>
      <c r="AJ11" s="43">
        <f t="shared" si="8"/>
        <v>0</v>
      </c>
      <c r="AK11" s="43">
        <f t="shared" ref="AK11:BP11" si="9">$C11*AK7</f>
        <v>0</v>
      </c>
      <c r="AL11" s="43">
        <f t="shared" si="9"/>
        <v>0</v>
      </c>
      <c r="AM11" s="43">
        <f t="shared" si="9"/>
        <v>0</v>
      </c>
      <c r="AN11" s="43">
        <f t="shared" si="9"/>
        <v>0</v>
      </c>
      <c r="AO11" s="43">
        <f t="shared" si="9"/>
        <v>0</v>
      </c>
      <c r="AP11" s="43">
        <f t="shared" si="9"/>
        <v>0</v>
      </c>
      <c r="AQ11" s="43">
        <f t="shared" si="9"/>
        <v>0</v>
      </c>
      <c r="AR11" s="43">
        <f t="shared" si="9"/>
        <v>0</v>
      </c>
      <c r="AS11" s="43">
        <f t="shared" si="9"/>
        <v>0</v>
      </c>
      <c r="AT11" s="43">
        <f t="shared" si="9"/>
        <v>0</v>
      </c>
      <c r="AU11" s="43">
        <f t="shared" si="9"/>
        <v>0</v>
      </c>
      <c r="AV11" s="43">
        <f t="shared" si="9"/>
        <v>0</v>
      </c>
      <c r="AW11" s="43">
        <f t="shared" si="9"/>
        <v>0</v>
      </c>
      <c r="AX11" s="43">
        <f t="shared" si="9"/>
        <v>0</v>
      </c>
      <c r="AY11" s="43">
        <f t="shared" si="9"/>
        <v>0</v>
      </c>
      <c r="AZ11" s="43">
        <f t="shared" si="9"/>
        <v>0</v>
      </c>
      <c r="BA11" s="43">
        <f t="shared" si="9"/>
        <v>0</v>
      </c>
      <c r="BB11" s="43">
        <f t="shared" si="9"/>
        <v>0</v>
      </c>
      <c r="BC11" s="43">
        <f t="shared" si="9"/>
        <v>0</v>
      </c>
      <c r="BD11" s="43">
        <f t="shared" si="9"/>
        <v>0</v>
      </c>
      <c r="BE11" s="43">
        <f t="shared" si="9"/>
        <v>0</v>
      </c>
      <c r="BF11" s="43">
        <f t="shared" si="9"/>
        <v>0</v>
      </c>
      <c r="BG11" s="43">
        <f t="shared" si="9"/>
        <v>0</v>
      </c>
      <c r="BH11" s="43">
        <f t="shared" si="9"/>
        <v>0</v>
      </c>
      <c r="BI11" s="43">
        <f t="shared" si="9"/>
        <v>0</v>
      </c>
      <c r="BJ11" s="43">
        <f t="shared" si="9"/>
        <v>0</v>
      </c>
      <c r="BK11" s="43">
        <f t="shared" si="9"/>
        <v>0</v>
      </c>
      <c r="BL11" s="43">
        <f t="shared" si="9"/>
        <v>0</v>
      </c>
      <c r="BM11" s="43">
        <f t="shared" si="9"/>
        <v>0</v>
      </c>
      <c r="BN11" s="43">
        <f t="shared" si="9"/>
        <v>0</v>
      </c>
      <c r="BO11" s="43">
        <f t="shared" si="9"/>
        <v>0</v>
      </c>
      <c r="BP11" s="43">
        <f t="shared" si="9"/>
        <v>0</v>
      </c>
      <c r="BQ11" s="43">
        <f t="shared" ref="BQ11:CV11" si="10">$C11*BQ7</f>
        <v>0</v>
      </c>
      <c r="BR11" s="43">
        <f t="shared" si="10"/>
        <v>0</v>
      </c>
      <c r="BS11" s="43">
        <f t="shared" si="10"/>
        <v>0</v>
      </c>
      <c r="BT11" s="43">
        <f t="shared" si="10"/>
        <v>0</v>
      </c>
      <c r="BU11" s="43">
        <f t="shared" si="10"/>
        <v>0</v>
      </c>
      <c r="BV11" s="43">
        <f t="shared" si="10"/>
        <v>0</v>
      </c>
      <c r="BW11" s="43">
        <f t="shared" si="10"/>
        <v>0</v>
      </c>
      <c r="BX11" s="43">
        <f t="shared" si="10"/>
        <v>0</v>
      </c>
      <c r="BY11" s="43">
        <f t="shared" si="10"/>
        <v>0</v>
      </c>
      <c r="BZ11" s="43">
        <f t="shared" si="10"/>
        <v>0</v>
      </c>
      <c r="CA11" s="43">
        <f t="shared" si="10"/>
        <v>0</v>
      </c>
      <c r="CB11" s="43">
        <f t="shared" si="10"/>
        <v>0</v>
      </c>
      <c r="CC11" s="43">
        <f t="shared" si="10"/>
        <v>0</v>
      </c>
      <c r="CD11" s="43">
        <f t="shared" si="10"/>
        <v>0</v>
      </c>
      <c r="CE11" s="43">
        <f t="shared" si="10"/>
        <v>0</v>
      </c>
      <c r="CF11" s="43">
        <f t="shared" si="10"/>
        <v>0</v>
      </c>
      <c r="CG11" s="43">
        <f t="shared" si="10"/>
        <v>0</v>
      </c>
      <c r="CH11" s="43">
        <f t="shared" si="10"/>
        <v>0</v>
      </c>
      <c r="CI11" s="43">
        <f t="shared" si="10"/>
        <v>0</v>
      </c>
      <c r="CJ11" s="43">
        <f t="shared" si="10"/>
        <v>12532467.631398</v>
      </c>
      <c r="CK11" s="43">
        <f t="shared" si="10"/>
        <v>12532467.631398</v>
      </c>
      <c r="CL11" s="43">
        <f t="shared" si="10"/>
        <v>12532467.631398</v>
      </c>
      <c r="CM11" s="43">
        <f t="shared" si="10"/>
        <v>4054622.3686019997</v>
      </c>
      <c r="CN11" s="43">
        <f t="shared" si="10"/>
        <v>4054622.3686019997</v>
      </c>
      <c r="CO11" s="43">
        <f t="shared" si="10"/>
        <v>4054622.3686019997</v>
      </c>
      <c r="CP11" s="43">
        <f t="shared" si="10"/>
        <v>2211612</v>
      </c>
      <c r="CQ11" s="43">
        <f t="shared" si="10"/>
        <v>2211612</v>
      </c>
      <c r="CR11" s="43">
        <f t="shared" si="10"/>
        <v>2211612</v>
      </c>
      <c r="CS11" s="43">
        <f t="shared" si="10"/>
        <v>2211612</v>
      </c>
      <c r="CT11" s="43">
        <f t="shared" si="10"/>
        <v>2211612</v>
      </c>
      <c r="CU11" s="43">
        <f t="shared" si="10"/>
        <v>2211612</v>
      </c>
      <c r="CV11" s="43">
        <f t="shared" si="10"/>
        <v>1474407.6313979998</v>
      </c>
      <c r="CW11" s="43">
        <f t="shared" ref="CW11:DY11" si="11">$C11*CW7</f>
        <v>1474407.6313979998</v>
      </c>
      <c r="CX11" s="43">
        <f t="shared" si="11"/>
        <v>1474407.6313979998</v>
      </c>
      <c r="CY11" s="43">
        <f t="shared" si="11"/>
        <v>1474407.6313979998</v>
      </c>
      <c r="CZ11" s="43">
        <f t="shared" si="11"/>
        <v>1474407.6313979998</v>
      </c>
      <c r="DA11" s="43">
        <f t="shared" si="11"/>
        <v>1474407.6313979998</v>
      </c>
      <c r="DB11" s="43">
        <f t="shared" si="11"/>
        <v>1474407.6313979998</v>
      </c>
      <c r="DC11" s="43">
        <f t="shared" si="11"/>
        <v>1474407.6313979998</v>
      </c>
      <c r="DD11" s="43">
        <f t="shared" si="11"/>
        <v>1474407.6313979998</v>
      </c>
      <c r="DE11" s="43">
        <f t="shared" si="11"/>
        <v>1474407.6313979998</v>
      </c>
      <c r="DF11" s="43">
        <f t="shared" si="11"/>
        <v>1474407.6313979998</v>
      </c>
      <c r="DG11" s="43">
        <f t="shared" si="11"/>
        <v>1474407.6313979998</v>
      </c>
      <c r="DH11" s="43">
        <f t="shared" si="11"/>
        <v>1843010.3686020002</v>
      </c>
      <c r="DI11" s="43">
        <f t="shared" si="11"/>
        <v>1843010.3686020002</v>
      </c>
      <c r="DJ11" s="43">
        <f t="shared" si="11"/>
        <v>1843010.3686020002</v>
      </c>
      <c r="DK11" s="43">
        <f t="shared" si="11"/>
        <v>1474407.6313979998</v>
      </c>
      <c r="DL11" s="43">
        <f t="shared" si="11"/>
        <v>1474407.6313979998</v>
      </c>
      <c r="DM11" s="43">
        <f t="shared" si="11"/>
        <v>1474407.6313979998</v>
      </c>
      <c r="DN11" s="43">
        <f t="shared" si="11"/>
        <v>2211612</v>
      </c>
      <c r="DO11" s="43">
        <f t="shared" si="11"/>
        <v>2211612</v>
      </c>
      <c r="DP11" s="43">
        <f t="shared" si="11"/>
        <v>2211612</v>
      </c>
      <c r="DQ11" s="43">
        <f t="shared" si="11"/>
        <v>2211612</v>
      </c>
      <c r="DR11" s="43">
        <f t="shared" si="11"/>
        <v>2211612</v>
      </c>
      <c r="DS11" s="43">
        <f t="shared" si="11"/>
        <v>2211612</v>
      </c>
      <c r="DT11" s="43">
        <f t="shared" si="11"/>
        <v>2211612</v>
      </c>
      <c r="DU11" s="43">
        <f t="shared" si="11"/>
        <v>2211612</v>
      </c>
      <c r="DV11" s="43">
        <f t="shared" si="11"/>
        <v>2211612</v>
      </c>
      <c r="DW11" s="43">
        <f t="shared" si="11"/>
        <v>0</v>
      </c>
      <c r="DX11" s="43">
        <f t="shared" si="11"/>
        <v>0</v>
      </c>
      <c r="DY11" s="43">
        <f t="shared" si="11"/>
        <v>4.4232240000000003</v>
      </c>
      <c r="DZ11" s="43">
        <f t="shared" ref="DZ11:DZ19" si="12">SUM(D11:DY11)</f>
        <v>110580599.99999994</v>
      </c>
      <c r="EA11" s="34" t="str">
        <f t="shared" ref="EA11:EA18" si="13">IF(ROUND(DZ11,0)&lt;=ROUND(C11,0)+1,"OK","초과")</f>
        <v>OK</v>
      </c>
    </row>
    <row r="12" spans="1:131">
      <c r="B12" s="34" t="s">
        <v>366</v>
      </c>
      <c r="C12" s="43">
        <f>'01_사업수지'!E11*0.1</f>
        <v>110580600</v>
      </c>
      <c r="S12" s="43">
        <f>$C12*S8</f>
        <v>0</v>
      </c>
      <c r="T12" s="43">
        <f t="shared" ref="T12:AY12" si="14">$C12*T7</f>
        <v>0</v>
      </c>
      <c r="U12" s="43">
        <f t="shared" si="14"/>
        <v>0</v>
      </c>
      <c r="V12" s="43">
        <f t="shared" si="14"/>
        <v>0</v>
      </c>
      <c r="W12" s="43">
        <f t="shared" si="14"/>
        <v>0</v>
      </c>
      <c r="X12" s="43">
        <f t="shared" si="14"/>
        <v>0</v>
      </c>
      <c r="Y12" s="43">
        <f t="shared" si="14"/>
        <v>0</v>
      </c>
      <c r="Z12" s="43">
        <f t="shared" si="14"/>
        <v>0</v>
      </c>
      <c r="AA12" s="43">
        <f t="shared" si="14"/>
        <v>0</v>
      </c>
      <c r="AB12" s="43">
        <f t="shared" si="14"/>
        <v>0</v>
      </c>
      <c r="AC12" s="43">
        <f t="shared" si="14"/>
        <v>0</v>
      </c>
      <c r="AD12" s="43">
        <f t="shared" si="14"/>
        <v>0</v>
      </c>
      <c r="AE12" s="43">
        <f t="shared" si="14"/>
        <v>0</v>
      </c>
      <c r="AF12" s="43">
        <f t="shared" si="14"/>
        <v>0</v>
      </c>
      <c r="AG12" s="43">
        <f t="shared" si="14"/>
        <v>0</v>
      </c>
      <c r="AH12" s="43">
        <f t="shared" si="14"/>
        <v>0</v>
      </c>
      <c r="AI12" s="43">
        <f t="shared" si="14"/>
        <v>0</v>
      </c>
      <c r="AJ12" s="43">
        <f t="shared" si="14"/>
        <v>0</v>
      </c>
      <c r="AK12" s="43">
        <f t="shared" si="14"/>
        <v>0</v>
      </c>
      <c r="AL12" s="43">
        <f t="shared" si="14"/>
        <v>0</v>
      </c>
      <c r="AM12" s="43">
        <f t="shared" si="14"/>
        <v>0</v>
      </c>
      <c r="AN12" s="43">
        <f t="shared" si="14"/>
        <v>0</v>
      </c>
      <c r="AO12" s="43">
        <f t="shared" si="14"/>
        <v>0</v>
      </c>
      <c r="AP12" s="43">
        <f t="shared" si="14"/>
        <v>0</v>
      </c>
      <c r="AQ12" s="43">
        <f t="shared" si="14"/>
        <v>0</v>
      </c>
      <c r="AR12" s="43">
        <f t="shared" si="14"/>
        <v>0</v>
      </c>
      <c r="AS12" s="43">
        <f t="shared" si="14"/>
        <v>0</v>
      </c>
      <c r="AT12" s="43">
        <f t="shared" si="14"/>
        <v>0</v>
      </c>
      <c r="AU12" s="43">
        <f t="shared" si="14"/>
        <v>0</v>
      </c>
      <c r="AV12" s="43">
        <f t="shared" si="14"/>
        <v>0</v>
      </c>
      <c r="AW12" s="43">
        <f t="shared" si="14"/>
        <v>0</v>
      </c>
      <c r="AX12" s="43">
        <f t="shared" si="14"/>
        <v>0</v>
      </c>
      <c r="AY12" s="43">
        <f t="shared" si="14"/>
        <v>0</v>
      </c>
      <c r="AZ12" s="43">
        <f t="shared" ref="AZ12:CE12" si="15">$C12*AZ7</f>
        <v>0</v>
      </c>
      <c r="BA12" s="43">
        <f t="shared" si="15"/>
        <v>0</v>
      </c>
      <c r="BB12" s="43">
        <f t="shared" si="15"/>
        <v>0</v>
      </c>
      <c r="BC12" s="43">
        <f t="shared" si="15"/>
        <v>0</v>
      </c>
      <c r="BD12" s="43">
        <f t="shared" si="15"/>
        <v>0</v>
      </c>
      <c r="BE12" s="43">
        <f t="shared" si="15"/>
        <v>0</v>
      </c>
      <c r="BF12" s="43">
        <f t="shared" si="15"/>
        <v>0</v>
      </c>
      <c r="BG12" s="43">
        <f t="shared" si="15"/>
        <v>0</v>
      </c>
      <c r="BH12" s="43">
        <f t="shared" si="15"/>
        <v>0</v>
      </c>
      <c r="BI12" s="43">
        <f t="shared" si="15"/>
        <v>0</v>
      </c>
      <c r="BJ12" s="43">
        <f t="shared" si="15"/>
        <v>0</v>
      </c>
      <c r="BK12" s="43">
        <f t="shared" si="15"/>
        <v>0</v>
      </c>
      <c r="BL12" s="43">
        <f t="shared" si="15"/>
        <v>0</v>
      </c>
      <c r="BM12" s="43">
        <f t="shared" si="15"/>
        <v>0</v>
      </c>
      <c r="BN12" s="43">
        <f t="shared" si="15"/>
        <v>0</v>
      </c>
      <c r="BO12" s="43">
        <f t="shared" si="15"/>
        <v>0</v>
      </c>
      <c r="BP12" s="43">
        <f t="shared" si="15"/>
        <v>0</v>
      </c>
      <c r="BQ12" s="43">
        <f t="shared" si="15"/>
        <v>0</v>
      </c>
      <c r="BR12" s="43">
        <f t="shared" si="15"/>
        <v>0</v>
      </c>
      <c r="BS12" s="43">
        <f t="shared" si="15"/>
        <v>0</v>
      </c>
      <c r="BT12" s="43">
        <f t="shared" si="15"/>
        <v>0</v>
      </c>
      <c r="BU12" s="43">
        <f t="shared" si="15"/>
        <v>0</v>
      </c>
      <c r="BV12" s="43">
        <f t="shared" si="15"/>
        <v>0</v>
      </c>
      <c r="BW12" s="43">
        <f t="shared" si="15"/>
        <v>0</v>
      </c>
      <c r="BX12" s="43">
        <f t="shared" si="15"/>
        <v>0</v>
      </c>
      <c r="BY12" s="43">
        <f t="shared" si="15"/>
        <v>0</v>
      </c>
      <c r="BZ12" s="43">
        <f t="shared" si="15"/>
        <v>0</v>
      </c>
      <c r="CA12" s="43">
        <f t="shared" si="15"/>
        <v>0</v>
      </c>
      <c r="CB12" s="43">
        <f t="shared" si="15"/>
        <v>0</v>
      </c>
      <c r="CC12" s="43">
        <f t="shared" si="15"/>
        <v>0</v>
      </c>
      <c r="CD12" s="43">
        <f t="shared" si="15"/>
        <v>0</v>
      </c>
      <c r="CE12" s="43">
        <f t="shared" si="15"/>
        <v>0</v>
      </c>
      <c r="CF12" s="43">
        <f t="shared" ref="CF12:DK12" si="16">$C12*CF7</f>
        <v>0</v>
      </c>
      <c r="CG12" s="43">
        <f t="shared" si="16"/>
        <v>0</v>
      </c>
      <c r="CH12" s="43">
        <f t="shared" si="16"/>
        <v>0</v>
      </c>
      <c r="CI12" s="43">
        <f t="shared" si="16"/>
        <v>0</v>
      </c>
      <c r="CJ12" s="43">
        <f t="shared" si="16"/>
        <v>12532467.631398</v>
      </c>
      <c r="CK12" s="43">
        <f t="shared" si="16"/>
        <v>12532467.631398</v>
      </c>
      <c r="CL12" s="43">
        <f t="shared" si="16"/>
        <v>12532467.631398</v>
      </c>
      <c r="CM12" s="43">
        <f t="shared" si="16"/>
        <v>4054622.3686019997</v>
      </c>
      <c r="CN12" s="43">
        <f t="shared" si="16"/>
        <v>4054622.3686019997</v>
      </c>
      <c r="CO12" s="43">
        <f t="shared" si="16"/>
        <v>4054622.3686019997</v>
      </c>
      <c r="CP12" s="43">
        <f t="shared" si="16"/>
        <v>2211612</v>
      </c>
      <c r="CQ12" s="43">
        <f t="shared" si="16"/>
        <v>2211612</v>
      </c>
      <c r="CR12" s="43">
        <f t="shared" si="16"/>
        <v>2211612</v>
      </c>
      <c r="CS12" s="43">
        <f t="shared" si="16"/>
        <v>2211612</v>
      </c>
      <c r="CT12" s="43">
        <f t="shared" si="16"/>
        <v>2211612</v>
      </c>
      <c r="CU12" s="43">
        <f t="shared" si="16"/>
        <v>2211612</v>
      </c>
      <c r="CV12" s="43">
        <f t="shared" si="16"/>
        <v>1474407.6313979998</v>
      </c>
      <c r="CW12" s="43">
        <f t="shared" si="16"/>
        <v>1474407.6313979998</v>
      </c>
      <c r="CX12" s="43">
        <f t="shared" si="16"/>
        <v>1474407.6313979998</v>
      </c>
      <c r="CY12" s="43">
        <f t="shared" si="16"/>
        <v>1474407.6313979998</v>
      </c>
      <c r="CZ12" s="43">
        <f t="shared" si="16"/>
        <v>1474407.6313979998</v>
      </c>
      <c r="DA12" s="43">
        <f t="shared" si="16"/>
        <v>1474407.6313979998</v>
      </c>
      <c r="DB12" s="43">
        <f t="shared" si="16"/>
        <v>1474407.6313979998</v>
      </c>
      <c r="DC12" s="43">
        <f t="shared" si="16"/>
        <v>1474407.6313979998</v>
      </c>
      <c r="DD12" s="43">
        <f t="shared" si="16"/>
        <v>1474407.6313979998</v>
      </c>
      <c r="DE12" s="43">
        <f t="shared" si="16"/>
        <v>1474407.6313979998</v>
      </c>
      <c r="DF12" s="43">
        <f t="shared" si="16"/>
        <v>1474407.6313979998</v>
      </c>
      <c r="DG12" s="43">
        <f t="shared" si="16"/>
        <v>1474407.6313979998</v>
      </c>
      <c r="DH12" s="43">
        <f t="shared" si="16"/>
        <v>1843010.3686020002</v>
      </c>
      <c r="DI12" s="43">
        <f t="shared" si="16"/>
        <v>1843010.3686020002</v>
      </c>
      <c r="DJ12" s="43">
        <f t="shared" si="16"/>
        <v>1843010.3686020002</v>
      </c>
      <c r="DK12" s="43">
        <f t="shared" si="16"/>
        <v>1474407.6313979998</v>
      </c>
      <c r="DL12" s="43">
        <f t="shared" ref="DL12:DY12" si="17">$C12*DL7</f>
        <v>1474407.6313979998</v>
      </c>
      <c r="DM12" s="43">
        <f t="shared" si="17"/>
        <v>1474407.6313979998</v>
      </c>
      <c r="DN12" s="43">
        <f t="shared" si="17"/>
        <v>2211612</v>
      </c>
      <c r="DO12" s="43">
        <f t="shared" si="17"/>
        <v>2211612</v>
      </c>
      <c r="DP12" s="43">
        <f t="shared" si="17"/>
        <v>2211612</v>
      </c>
      <c r="DQ12" s="43">
        <f t="shared" si="17"/>
        <v>2211612</v>
      </c>
      <c r="DR12" s="43">
        <f t="shared" si="17"/>
        <v>2211612</v>
      </c>
      <c r="DS12" s="43">
        <f t="shared" si="17"/>
        <v>2211612</v>
      </c>
      <c r="DT12" s="43">
        <f t="shared" si="17"/>
        <v>2211612</v>
      </c>
      <c r="DU12" s="43">
        <f t="shared" si="17"/>
        <v>2211612</v>
      </c>
      <c r="DV12" s="43">
        <f t="shared" si="17"/>
        <v>2211612</v>
      </c>
      <c r="DW12" s="43">
        <f t="shared" si="17"/>
        <v>0</v>
      </c>
      <c r="DX12" s="43">
        <f t="shared" si="17"/>
        <v>0</v>
      </c>
      <c r="DY12" s="43">
        <f t="shared" si="17"/>
        <v>4.4232240000000003</v>
      </c>
      <c r="DZ12" s="43">
        <f t="shared" si="12"/>
        <v>110580599.99999994</v>
      </c>
      <c r="EA12" s="34" t="str">
        <f t="shared" si="13"/>
        <v>OK</v>
      </c>
    </row>
    <row r="13" spans="1:131">
      <c r="B13" s="34" t="s">
        <v>367</v>
      </c>
      <c r="C13" s="43">
        <f>'01_사업수지'!E11*0.1</f>
        <v>110580600</v>
      </c>
      <c r="AH13" s="43">
        <f>$C13*AH8</f>
        <v>0</v>
      </c>
      <c r="AI13" s="43">
        <f t="shared" ref="AI13:BN13" si="18">$C13*AI7</f>
        <v>0</v>
      </c>
      <c r="AJ13" s="43">
        <f t="shared" si="18"/>
        <v>0</v>
      </c>
      <c r="AK13" s="43">
        <f t="shared" si="18"/>
        <v>0</v>
      </c>
      <c r="AL13" s="43">
        <f t="shared" si="18"/>
        <v>0</v>
      </c>
      <c r="AM13" s="43">
        <f t="shared" si="18"/>
        <v>0</v>
      </c>
      <c r="AN13" s="43">
        <f t="shared" si="18"/>
        <v>0</v>
      </c>
      <c r="AO13" s="43">
        <f t="shared" si="18"/>
        <v>0</v>
      </c>
      <c r="AP13" s="43">
        <f t="shared" si="18"/>
        <v>0</v>
      </c>
      <c r="AQ13" s="43">
        <f t="shared" si="18"/>
        <v>0</v>
      </c>
      <c r="AR13" s="43">
        <f t="shared" si="18"/>
        <v>0</v>
      </c>
      <c r="AS13" s="43">
        <f t="shared" si="18"/>
        <v>0</v>
      </c>
      <c r="AT13" s="43">
        <f t="shared" si="18"/>
        <v>0</v>
      </c>
      <c r="AU13" s="43">
        <f t="shared" si="18"/>
        <v>0</v>
      </c>
      <c r="AV13" s="43">
        <f t="shared" si="18"/>
        <v>0</v>
      </c>
      <c r="AW13" s="43">
        <f t="shared" si="18"/>
        <v>0</v>
      </c>
      <c r="AX13" s="43">
        <f t="shared" si="18"/>
        <v>0</v>
      </c>
      <c r="AY13" s="43">
        <f t="shared" si="18"/>
        <v>0</v>
      </c>
      <c r="AZ13" s="43">
        <f t="shared" si="18"/>
        <v>0</v>
      </c>
      <c r="BA13" s="43">
        <f t="shared" si="18"/>
        <v>0</v>
      </c>
      <c r="BB13" s="43">
        <f t="shared" si="18"/>
        <v>0</v>
      </c>
      <c r="BC13" s="43">
        <f t="shared" si="18"/>
        <v>0</v>
      </c>
      <c r="BD13" s="43">
        <f t="shared" si="18"/>
        <v>0</v>
      </c>
      <c r="BE13" s="43">
        <f t="shared" si="18"/>
        <v>0</v>
      </c>
      <c r="BF13" s="43">
        <f t="shared" si="18"/>
        <v>0</v>
      </c>
      <c r="BG13" s="43">
        <f t="shared" si="18"/>
        <v>0</v>
      </c>
      <c r="BH13" s="43">
        <f t="shared" si="18"/>
        <v>0</v>
      </c>
      <c r="BI13" s="43">
        <f t="shared" si="18"/>
        <v>0</v>
      </c>
      <c r="BJ13" s="43">
        <f t="shared" si="18"/>
        <v>0</v>
      </c>
      <c r="BK13" s="43">
        <f t="shared" si="18"/>
        <v>0</v>
      </c>
      <c r="BL13" s="43">
        <f t="shared" si="18"/>
        <v>0</v>
      </c>
      <c r="BM13" s="43">
        <f t="shared" si="18"/>
        <v>0</v>
      </c>
      <c r="BN13" s="43">
        <f t="shared" si="18"/>
        <v>0</v>
      </c>
      <c r="BO13" s="43">
        <f t="shared" ref="BO13:CT13" si="19">$C13*BO7</f>
        <v>0</v>
      </c>
      <c r="BP13" s="43">
        <f t="shared" si="19"/>
        <v>0</v>
      </c>
      <c r="BQ13" s="43">
        <f t="shared" si="19"/>
        <v>0</v>
      </c>
      <c r="BR13" s="43">
        <f t="shared" si="19"/>
        <v>0</v>
      </c>
      <c r="BS13" s="43">
        <f t="shared" si="19"/>
        <v>0</v>
      </c>
      <c r="BT13" s="43">
        <f t="shared" si="19"/>
        <v>0</v>
      </c>
      <c r="BU13" s="43">
        <f t="shared" si="19"/>
        <v>0</v>
      </c>
      <c r="BV13" s="43">
        <f t="shared" si="19"/>
        <v>0</v>
      </c>
      <c r="BW13" s="43">
        <f t="shared" si="19"/>
        <v>0</v>
      </c>
      <c r="BX13" s="43">
        <f t="shared" si="19"/>
        <v>0</v>
      </c>
      <c r="BY13" s="43">
        <f t="shared" si="19"/>
        <v>0</v>
      </c>
      <c r="BZ13" s="43">
        <f t="shared" si="19"/>
        <v>0</v>
      </c>
      <c r="CA13" s="43">
        <f t="shared" si="19"/>
        <v>0</v>
      </c>
      <c r="CB13" s="43">
        <f t="shared" si="19"/>
        <v>0</v>
      </c>
      <c r="CC13" s="43">
        <f t="shared" si="19"/>
        <v>0</v>
      </c>
      <c r="CD13" s="43">
        <f t="shared" si="19"/>
        <v>0</v>
      </c>
      <c r="CE13" s="43">
        <f t="shared" si="19"/>
        <v>0</v>
      </c>
      <c r="CF13" s="43">
        <f t="shared" si="19"/>
        <v>0</v>
      </c>
      <c r="CG13" s="43">
        <f t="shared" si="19"/>
        <v>0</v>
      </c>
      <c r="CH13" s="43">
        <f t="shared" si="19"/>
        <v>0</v>
      </c>
      <c r="CI13" s="43">
        <f t="shared" si="19"/>
        <v>0</v>
      </c>
      <c r="CJ13" s="43">
        <f t="shared" si="19"/>
        <v>12532467.631398</v>
      </c>
      <c r="CK13" s="43">
        <f t="shared" si="19"/>
        <v>12532467.631398</v>
      </c>
      <c r="CL13" s="43">
        <f t="shared" si="19"/>
        <v>12532467.631398</v>
      </c>
      <c r="CM13" s="43">
        <f t="shared" si="19"/>
        <v>4054622.3686019997</v>
      </c>
      <c r="CN13" s="43">
        <f t="shared" si="19"/>
        <v>4054622.3686019997</v>
      </c>
      <c r="CO13" s="43">
        <f t="shared" si="19"/>
        <v>4054622.3686019997</v>
      </c>
      <c r="CP13" s="43">
        <f t="shared" si="19"/>
        <v>2211612</v>
      </c>
      <c r="CQ13" s="43">
        <f t="shared" si="19"/>
        <v>2211612</v>
      </c>
      <c r="CR13" s="43">
        <f t="shared" si="19"/>
        <v>2211612</v>
      </c>
      <c r="CS13" s="43">
        <f t="shared" si="19"/>
        <v>2211612</v>
      </c>
      <c r="CT13" s="43">
        <f t="shared" si="19"/>
        <v>2211612</v>
      </c>
      <c r="CU13" s="43">
        <f t="shared" ref="CU13:DY13" si="20">$C13*CU7</f>
        <v>2211612</v>
      </c>
      <c r="CV13" s="43">
        <f t="shared" si="20"/>
        <v>1474407.6313979998</v>
      </c>
      <c r="CW13" s="43">
        <f t="shared" si="20"/>
        <v>1474407.6313979998</v>
      </c>
      <c r="CX13" s="43">
        <f t="shared" si="20"/>
        <v>1474407.6313979998</v>
      </c>
      <c r="CY13" s="43">
        <f t="shared" si="20"/>
        <v>1474407.6313979998</v>
      </c>
      <c r="CZ13" s="43">
        <f t="shared" si="20"/>
        <v>1474407.6313979998</v>
      </c>
      <c r="DA13" s="43">
        <f t="shared" si="20"/>
        <v>1474407.6313979998</v>
      </c>
      <c r="DB13" s="43">
        <f t="shared" si="20"/>
        <v>1474407.6313979998</v>
      </c>
      <c r="DC13" s="43">
        <f t="shared" si="20"/>
        <v>1474407.6313979998</v>
      </c>
      <c r="DD13" s="43">
        <f t="shared" si="20"/>
        <v>1474407.6313979998</v>
      </c>
      <c r="DE13" s="43">
        <f t="shared" si="20"/>
        <v>1474407.6313979998</v>
      </c>
      <c r="DF13" s="43">
        <f t="shared" si="20"/>
        <v>1474407.6313979998</v>
      </c>
      <c r="DG13" s="43">
        <f t="shared" si="20"/>
        <v>1474407.6313979998</v>
      </c>
      <c r="DH13" s="43">
        <f t="shared" si="20"/>
        <v>1843010.3686020002</v>
      </c>
      <c r="DI13" s="43">
        <f t="shared" si="20"/>
        <v>1843010.3686020002</v>
      </c>
      <c r="DJ13" s="43">
        <f t="shared" si="20"/>
        <v>1843010.3686020002</v>
      </c>
      <c r="DK13" s="43">
        <f t="shared" si="20"/>
        <v>1474407.6313979998</v>
      </c>
      <c r="DL13" s="43">
        <f t="shared" si="20"/>
        <v>1474407.6313979998</v>
      </c>
      <c r="DM13" s="43">
        <f t="shared" si="20"/>
        <v>1474407.6313979998</v>
      </c>
      <c r="DN13" s="43">
        <f t="shared" si="20"/>
        <v>2211612</v>
      </c>
      <c r="DO13" s="43">
        <f t="shared" si="20"/>
        <v>2211612</v>
      </c>
      <c r="DP13" s="43">
        <f t="shared" si="20"/>
        <v>2211612</v>
      </c>
      <c r="DQ13" s="43">
        <f t="shared" si="20"/>
        <v>2211612</v>
      </c>
      <c r="DR13" s="43">
        <f t="shared" si="20"/>
        <v>2211612</v>
      </c>
      <c r="DS13" s="43">
        <f t="shared" si="20"/>
        <v>2211612</v>
      </c>
      <c r="DT13" s="43">
        <f t="shared" si="20"/>
        <v>2211612</v>
      </c>
      <c r="DU13" s="43">
        <f t="shared" si="20"/>
        <v>2211612</v>
      </c>
      <c r="DV13" s="43">
        <f t="shared" si="20"/>
        <v>2211612</v>
      </c>
      <c r="DW13" s="43">
        <f t="shared" si="20"/>
        <v>0</v>
      </c>
      <c r="DX13" s="43">
        <f t="shared" si="20"/>
        <v>0</v>
      </c>
      <c r="DY13" s="43">
        <f t="shared" si="20"/>
        <v>4.4232240000000003</v>
      </c>
      <c r="DZ13" s="43">
        <f t="shared" si="12"/>
        <v>110580599.99999994</v>
      </c>
      <c r="EA13" s="34" t="str">
        <f t="shared" si="13"/>
        <v>OK</v>
      </c>
    </row>
    <row r="14" spans="1:131">
      <c r="B14" s="34" t="s">
        <v>368</v>
      </c>
      <c r="C14" s="43">
        <f>'01_사업수지'!E11*0.1</f>
        <v>110580600</v>
      </c>
      <c r="AW14" s="43">
        <f>$C14*AW8</f>
        <v>0</v>
      </c>
      <c r="AX14" s="43">
        <f t="shared" ref="AX14:CC14" si="21">$C14*AX7</f>
        <v>0</v>
      </c>
      <c r="AY14" s="43">
        <f t="shared" si="21"/>
        <v>0</v>
      </c>
      <c r="AZ14" s="43">
        <f t="shared" si="21"/>
        <v>0</v>
      </c>
      <c r="BA14" s="43">
        <f t="shared" si="21"/>
        <v>0</v>
      </c>
      <c r="BB14" s="43">
        <f t="shared" si="21"/>
        <v>0</v>
      </c>
      <c r="BC14" s="43">
        <f t="shared" si="21"/>
        <v>0</v>
      </c>
      <c r="BD14" s="43">
        <f t="shared" si="21"/>
        <v>0</v>
      </c>
      <c r="BE14" s="43">
        <f t="shared" si="21"/>
        <v>0</v>
      </c>
      <c r="BF14" s="43">
        <f t="shared" si="21"/>
        <v>0</v>
      </c>
      <c r="BG14" s="43">
        <f t="shared" si="21"/>
        <v>0</v>
      </c>
      <c r="BH14" s="43">
        <f t="shared" si="21"/>
        <v>0</v>
      </c>
      <c r="BI14" s="43">
        <f t="shared" si="21"/>
        <v>0</v>
      </c>
      <c r="BJ14" s="43">
        <f t="shared" si="21"/>
        <v>0</v>
      </c>
      <c r="BK14" s="43">
        <f t="shared" si="21"/>
        <v>0</v>
      </c>
      <c r="BL14" s="43">
        <f t="shared" si="21"/>
        <v>0</v>
      </c>
      <c r="BM14" s="43">
        <f t="shared" si="21"/>
        <v>0</v>
      </c>
      <c r="BN14" s="43">
        <f t="shared" si="21"/>
        <v>0</v>
      </c>
      <c r="BO14" s="43">
        <f t="shared" si="21"/>
        <v>0</v>
      </c>
      <c r="BP14" s="43">
        <f t="shared" si="21"/>
        <v>0</v>
      </c>
      <c r="BQ14" s="43">
        <f t="shared" si="21"/>
        <v>0</v>
      </c>
      <c r="BR14" s="43">
        <f t="shared" si="21"/>
        <v>0</v>
      </c>
      <c r="BS14" s="43">
        <f t="shared" si="21"/>
        <v>0</v>
      </c>
      <c r="BT14" s="43">
        <f t="shared" si="21"/>
        <v>0</v>
      </c>
      <c r="BU14" s="43">
        <f t="shared" si="21"/>
        <v>0</v>
      </c>
      <c r="BV14" s="43">
        <f t="shared" si="21"/>
        <v>0</v>
      </c>
      <c r="BW14" s="43">
        <f t="shared" si="21"/>
        <v>0</v>
      </c>
      <c r="BX14" s="43">
        <f t="shared" si="21"/>
        <v>0</v>
      </c>
      <c r="BY14" s="43">
        <f t="shared" si="21"/>
        <v>0</v>
      </c>
      <c r="BZ14" s="43">
        <f t="shared" si="21"/>
        <v>0</v>
      </c>
      <c r="CA14" s="43">
        <f t="shared" si="21"/>
        <v>0</v>
      </c>
      <c r="CB14" s="43">
        <f t="shared" si="21"/>
        <v>0</v>
      </c>
      <c r="CC14" s="43">
        <f t="shared" si="21"/>
        <v>0</v>
      </c>
      <c r="CD14" s="43">
        <f t="shared" ref="CD14:DI14" si="22">$C14*CD7</f>
        <v>0</v>
      </c>
      <c r="CE14" s="43">
        <f t="shared" si="22"/>
        <v>0</v>
      </c>
      <c r="CF14" s="43">
        <f t="shared" si="22"/>
        <v>0</v>
      </c>
      <c r="CG14" s="43">
        <f t="shared" si="22"/>
        <v>0</v>
      </c>
      <c r="CH14" s="43">
        <f t="shared" si="22"/>
        <v>0</v>
      </c>
      <c r="CI14" s="43">
        <f t="shared" si="22"/>
        <v>0</v>
      </c>
      <c r="CJ14" s="43">
        <f t="shared" si="22"/>
        <v>12532467.631398</v>
      </c>
      <c r="CK14" s="43">
        <f t="shared" si="22"/>
        <v>12532467.631398</v>
      </c>
      <c r="CL14" s="43">
        <f t="shared" si="22"/>
        <v>12532467.631398</v>
      </c>
      <c r="CM14" s="43">
        <f t="shared" si="22"/>
        <v>4054622.3686019997</v>
      </c>
      <c r="CN14" s="43">
        <f t="shared" si="22"/>
        <v>4054622.3686019997</v>
      </c>
      <c r="CO14" s="43">
        <f t="shared" si="22"/>
        <v>4054622.3686019997</v>
      </c>
      <c r="CP14" s="43">
        <f t="shared" si="22"/>
        <v>2211612</v>
      </c>
      <c r="CQ14" s="43">
        <f t="shared" si="22"/>
        <v>2211612</v>
      </c>
      <c r="CR14" s="43">
        <f t="shared" si="22"/>
        <v>2211612</v>
      </c>
      <c r="CS14" s="43">
        <f t="shared" si="22"/>
        <v>2211612</v>
      </c>
      <c r="CT14" s="43">
        <f t="shared" si="22"/>
        <v>2211612</v>
      </c>
      <c r="CU14" s="43">
        <f t="shared" si="22"/>
        <v>2211612</v>
      </c>
      <c r="CV14" s="43">
        <f t="shared" si="22"/>
        <v>1474407.6313979998</v>
      </c>
      <c r="CW14" s="43">
        <f t="shared" si="22"/>
        <v>1474407.6313979998</v>
      </c>
      <c r="CX14" s="43">
        <f t="shared" si="22"/>
        <v>1474407.6313979998</v>
      </c>
      <c r="CY14" s="43">
        <f t="shared" si="22"/>
        <v>1474407.6313979998</v>
      </c>
      <c r="CZ14" s="43">
        <f t="shared" si="22"/>
        <v>1474407.6313979998</v>
      </c>
      <c r="DA14" s="43">
        <f t="shared" si="22"/>
        <v>1474407.6313979998</v>
      </c>
      <c r="DB14" s="43">
        <f t="shared" si="22"/>
        <v>1474407.6313979998</v>
      </c>
      <c r="DC14" s="43">
        <f t="shared" si="22"/>
        <v>1474407.6313979998</v>
      </c>
      <c r="DD14" s="43">
        <f t="shared" si="22"/>
        <v>1474407.6313979998</v>
      </c>
      <c r="DE14" s="43">
        <f t="shared" si="22"/>
        <v>1474407.6313979998</v>
      </c>
      <c r="DF14" s="43">
        <f t="shared" si="22"/>
        <v>1474407.6313979998</v>
      </c>
      <c r="DG14" s="43">
        <f t="shared" si="22"/>
        <v>1474407.6313979998</v>
      </c>
      <c r="DH14" s="43">
        <f t="shared" si="22"/>
        <v>1843010.3686020002</v>
      </c>
      <c r="DI14" s="43">
        <f t="shared" si="22"/>
        <v>1843010.3686020002</v>
      </c>
      <c r="DJ14" s="43">
        <f t="shared" ref="DJ14:DY14" si="23">$C14*DJ7</f>
        <v>1843010.3686020002</v>
      </c>
      <c r="DK14" s="43">
        <f t="shared" si="23"/>
        <v>1474407.6313979998</v>
      </c>
      <c r="DL14" s="43">
        <f t="shared" si="23"/>
        <v>1474407.6313979998</v>
      </c>
      <c r="DM14" s="43">
        <f t="shared" si="23"/>
        <v>1474407.6313979998</v>
      </c>
      <c r="DN14" s="43">
        <f t="shared" si="23"/>
        <v>2211612</v>
      </c>
      <c r="DO14" s="43">
        <f t="shared" si="23"/>
        <v>2211612</v>
      </c>
      <c r="DP14" s="43">
        <f t="shared" si="23"/>
        <v>2211612</v>
      </c>
      <c r="DQ14" s="43">
        <f t="shared" si="23"/>
        <v>2211612</v>
      </c>
      <c r="DR14" s="43">
        <f t="shared" si="23"/>
        <v>2211612</v>
      </c>
      <c r="DS14" s="43">
        <f t="shared" si="23"/>
        <v>2211612</v>
      </c>
      <c r="DT14" s="43">
        <f t="shared" si="23"/>
        <v>2211612</v>
      </c>
      <c r="DU14" s="43">
        <f t="shared" si="23"/>
        <v>2211612</v>
      </c>
      <c r="DV14" s="43">
        <f t="shared" si="23"/>
        <v>2211612</v>
      </c>
      <c r="DW14" s="43">
        <f t="shared" si="23"/>
        <v>0</v>
      </c>
      <c r="DX14" s="43">
        <f t="shared" si="23"/>
        <v>0</v>
      </c>
      <c r="DY14" s="43">
        <f t="shared" si="23"/>
        <v>4.4232240000000003</v>
      </c>
      <c r="DZ14" s="43">
        <f t="shared" si="12"/>
        <v>110580599.99999994</v>
      </c>
      <c r="EA14" s="34" t="str">
        <f t="shared" si="13"/>
        <v>OK</v>
      </c>
    </row>
    <row r="15" spans="1:131">
      <c r="B15" s="34" t="s">
        <v>369</v>
      </c>
      <c r="C15" s="43">
        <f>'01_사업수지'!E11*0.1</f>
        <v>110580600</v>
      </c>
      <c r="BL15" s="43">
        <f>$C15*BL8</f>
        <v>0</v>
      </c>
      <c r="BM15" s="43">
        <f t="shared" ref="BM15:CR15" si="24">$C15*BM7</f>
        <v>0</v>
      </c>
      <c r="BN15" s="43">
        <f t="shared" si="24"/>
        <v>0</v>
      </c>
      <c r="BO15" s="43">
        <f t="shared" si="24"/>
        <v>0</v>
      </c>
      <c r="BP15" s="43">
        <f t="shared" si="24"/>
        <v>0</v>
      </c>
      <c r="BQ15" s="43">
        <f t="shared" si="24"/>
        <v>0</v>
      </c>
      <c r="BR15" s="43">
        <f t="shared" si="24"/>
        <v>0</v>
      </c>
      <c r="BS15" s="43">
        <f t="shared" si="24"/>
        <v>0</v>
      </c>
      <c r="BT15" s="43">
        <f t="shared" si="24"/>
        <v>0</v>
      </c>
      <c r="BU15" s="43">
        <f t="shared" si="24"/>
        <v>0</v>
      </c>
      <c r="BV15" s="43">
        <f t="shared" si="24"/>
        <v>0</v>
      </c>
      <c r="BW15" s="43">
        <f t="shared" si="24"/>
        <v>0</v>
      </c>
      <c r="BX15" s="43">
        <f t="shared" si="24"/>
        <v>0</v>
      </c>
      <c r="BY15" s="43">
        <f t="shared" si="24"/>
        <v>0</v>
      </c>
      <c r="BZ15" s="43">
        <f t="shared" si="24"/>
        <v>0</v>
      </c>
      <c r="CA15" s="43">
        <f t="shared" si="24"/>
        <v>0</v>
      </c>
      <c r="CB15" s="43">
        <f t="shared" si="24"/>
        <v>0</v>
      </c>
      <c r="CC15" s="43">
        <f t="shared" si="24"/>
        <v>0</v>
      </c>
      <c r="CD15" s="43">
        <f t="shared" si="24"/>
        <v>0</v>
      </c>
      <c r="CE15" s="43">
        <f t="shared" si="24"/>
        <v>0</v>
      </c>
      <c r="CF15" s="43">
        <f t="shared" si="24"/>
        <v>0</v>
      </c>
      <c r="CG15" s="43">
        <f t="shared" si="24"/>
        <v>0</v>
      </c>
      <c r="CH15" s="43">
        <f t="shared" si="24"/>
        <v>0</v>
      </c>
      <c r="CI15" s="43">
        <f t="shared" si="24"/>
        <v>0</v>
      </c>
      <c r="CJ15" s="43">
        <f t="shared" si="24"/>
        <v>12532467.631398</v>
      </c>
      <c r="CK15" s="43">
        <f t="shared" si="24"/>
        <v>12532467.631398</v>
      </c>
      <c r="CL15" s="43">
        <f t="shared" si="24"/>
        <v>12532467.631398</v>
      </c>
      <c r="CM15" s="43">
        <f t="shared" si="24"/>
        <v>4054622.3686019997</v>
      </c>
      <c r="CN15" s="43">
        <f t="shared" si="24"/>
        <v>4054622.3686019997</v>
      </c>
      <c r="CO15" s="43">
        <f t="shared" si="24"/>
        <v>4054622.3686019997</v>
      </c>
      <c r="CP15" s="43">
        <f t="shared" si="24"/>
        <v>2211612</v>
      </c>
      <c r="CQ15" s="43">
        <f t="shared" si="24"/>
        <v>2211612</v>
      </c>
      <c r="CR15" s="43">
        <f t="shared" si="24"/>
        <v>2211612</v>
      </c>
      <c r="CS15" s="43">
        <f t="shared" ref="CS15:DY15" si="25">$C15*CS7</f>
        <v>2211612</v>
      </c>
      <c r="CT15" s="43">
        <f t="shared" si="25"/>
        <v>2211612</v>
      </c>
      <c r="CU15" s="43">
        <f t="shared" si="25"/>
        <v>2211612</v>
      </c>
      <c r="CV15" s="43">
        <f t="shared" si="25"/>
        <v>1474407.6313979998</v>
      </c>
      <c r="CW15" s="43">
        <f t="shared" si="25"/>
        <v>1474407.6313979998</v>
      </c>
      <c r="CX15" s="43">
        <f t="shared" si="25"/>
        <v>1474407.6313979998</v>
      </c>
      <c r="CY15" s="43">
        <f t="shared" si="25"/>
        <v>1474407.6313979998</v>
      </c>
      <c r="CZ15" s="43">
        <f t="shared" si="25"/>
        <v>1474407.6313979998</v>
      </c>
      <c r="DA15" s="43">
        <f t="shared" si="25"/>
        <v>1474407.6313979998</v>
      </c>
      <c r="DB15" s="43">
        <f t="shared" si="25"/>
        <v>1474407.6313979998</v>
      </c>
      <c r="DC15" s="43">
        <f t="shared" si="25"/>
        <v>1474407.6313979998</v>
      </c>
      <c r="DD15" s="43">
        <f t="shared" si="25"/>
        <v>1474407.6313979998</v>
      </c>
      <c r="DE15" s="43">
        <f t="shared" si="25"/>
        <v>1474407.6313979998</v>
      </c>
      <c r="DF15" s="43">
        <f t="shared" si="25"/>
        <v>1474407.6313979998</v>
      </c>
      <c r="DG15" s="43">
        <f t="shared" si="25"/>
        <v>1474407.6313979998</v>
      </c>
      <c r="DH15" s="43">
        <f t="shared" si="25"/>
        <v>1843010.3686020002</v>
      </c>
      <c r="DI15" s="43">
        <f t="shared" si="25"/>
        <v>1843010.3686020002</v>
      </c>
      <c r="DJ15" s="43">
        <f t="shared" si="25"/>
        <v>1843010.3686020002</v>
      </c>
      <c r="DK15" s="43">
        <f t="shared" si="25"/>
        <v>1474407.6313979998</v>
      </c>
      <c r="DL15" s="43">
        <f t="shared" si="25"/>
        <v>1474407.6313979998</v>
      </c>
      <c r="DM15" s="43">
        <f t="shared" si="25"/>
        <v>1474407.6313979998</v>
      </c>
      <c r="DN15" s="43">
        <f t="shared" si="25"/>
        <v>2211612</v>
      </c>
      <c r="DO15" s="43">
        <f t="shared" si="25"/>
        <v>2211612</v>
      </c>
      <c r="DP15" s="43">
        <f t="shared" si="25"/>
        <v>2211612</v>
      </c>
      <c r="DQ15" s="43">
        <f t="shared" si="25"/>
        <v>2211612</v>
      </c>
      <c r="DR15" s="43">
        <f t="shared" si="25"/>
        <v>2211612</v>
      </c>
      <c r="DS15" s="43">
        <f t="shared" si="25"/>
        <v>2211612</v>
      </c>
      <c r="DT15" s="43">
        <f t="shared" si="25"/>
        <v>2211612</v>
      </c>
      <c r="DU15" s="43">
        <f t="shared" si="25"/>
        <v>2211612</v>
      </c>
      <c r="DV15" s="43">
        <f t="shared" si="25"/>
        <v>2211612</v>
      </c>
      <c r="DW15" s="43">
        <f t="shared" si="25"/>
        <v>0</v>
      </c>
      <c r="DX15" s="43">
        <f t="shared" si="25"/>
        <v>0</v>
      </c>
      <c r="DY15" s="43">
        <f t="shared" si="25"/>
        <v>4.4232240000000003</v>
      </c>
      <c r="DZ15" s="43">
        <f t="shared" si="12"/>
        <v>110580599.99999994</v>
      </c>
      <c r="EA15" s="34" t="str">
        <f t="shared" si="13"/>
        <v>OK</v>
      </c>
    </row>
    <row r="16" spans="1:131">
      <c r="B16" s="34" t="s">
        <v>370</v>
      </c>
      <c r="C16" s="43">
        <f>'01_사업수지'!E11*0.1</f>
        <v>110580600</v>
      </c>
      <c r="CA16" s="43">
        <f>$C16*CA8</f>
        <v>0</v>
      </c>
      <c r="CB16" s="43">
        <f t="shared" ref="CB16:DG16" si="26">$C16*CB7</f>
        <v>0</v>
      </c>
      <c r="CC16" s="43">
        <f t="shared" si="26"/>
        <v>0</v>
      </c>
      <c r="CD16" s="43">
        <f t="shared" si="26"/>
        <v>0</v>
      </c>
      <c r="CE16" s="43">
        <f t="shared" si="26"/>
        <v>0</v>
      </c>
      <c r="CF16" s="43">
        <f t="shared" si="26"/>
        <v>0</v>
      </c>
      <c r="CG16" s="43">
        <f t="shared" si="26"/>
        <v>0</v>
      </c>
      <c r="CH16" s="43">
        <f t="shared" si="26"/>
        <v>0</v>
      </c>
      <c r="CI16" s="43">
        <f t="shared" si="26"/>
        <v>0</v>
      </c>
      <c r="CJ16" s="43">
        <f t="shared" si="26"/>
        <v>12532467.631398</v>
      </c>
      <c r="CK16" s="43">
        <f t="shared" si="26"/>
        <v>12532467.631398</v>
      </c>
      <c r="CL16" s="43">
        <f t="shared" si="26"/>
        <v>12532467.631398</v>
      </c>
      <c r="CM16" s="43">
        <f t="shared" si="26"/>
        <v>4054622.3686019997</v>
      </c>
      <c r="CN16" s="43">
        <f t="shared" si="26"/>
        <v>4054622.3686019997</v>
      </c>
      <c r="CO16" s="43">
        <f t="shared" si="26"/>
        <v>4054622.3686019997</v>
      </c>
      <c r="CP16" s="43">
        <f t="shared" si="26"/>
        <v>2211612</v>
      </c>
      <c r="CQ16" s="43">
        <f t="shared" si="26"/>
        <v>2211612</v>
      </c>
      <c r="CR16" s="43">
        <f t="shared" si="26"/>
        <v>2211612</v>
      </c>
      <c r="CS16" s="43">
        <f t="shared" si="26"/>
        <v>2211612</v>
      </c>
      <c r="CT16" s="43">
        <f t="shared" si="26"/>
        <v>2211612</v>
      </c>
      <c r="CU16" s="43">
        <f t="shared" si="26"/>
        <v>2211612</v>
      </c>
      <c r="CV16" s="43">
        <f t="shared" si="26"/>
        <v>1474407.6313979998</v>
      </c>
      <c r="CW16" s="43">
        <f t="shared" si="26"/>
        <v>1474407.6313979998</v>
      </c>
      <c r="CX16" s="43">
        <f t="shared" si="26"/>
        <v>1474407.6313979998</v>
      </c>
      <c r="CY16" s="43">
        <f t="shared" si="26"/>
        <v>1474407.6313979998</v>
      </c>
      <c r="CZ16" s="43">
        <f t="shared" si="26"/>
        <v>1474407.6313979998</v>
      </c>
      <c r="DA16" s="43">
        <f t="shared" si="26"/>
        <v>1474407.6313979998</v>
      </c>
      <c r="DB16" s="43">
        <f t="shared" si="26"/>
        <v>1474407.6313979998</v>
      </c>
      <c r="DC16" s="43">
        <f t="shared" si="26"/>
        <v>1474407.6313979998</v>
      </c>
      <c r="DD16" s="43">
        <f t="shared" si="26"/>
        <v>1474407.6313979998</v>
      </c>
      <c r="DE16" s="43">
        <f t="shared" si="26"/>
        <v>1474407.6313979998</v>
      </c>
      <c r="DF16" s="43">
        <f t="shared" si="26"/>
        <v>1474407.6313979998</v>
      </c>
      <c r="DG16" s="43">
        <f t="shared" si="26"/>
        <v>1474407.6313979998</v>
      </c>
      <c r="DH16" s="43">
        <f t="shared" ref="DH16:DY16" si="27">$C16*DH7</f>
        <v>1843010.3686020002</v>
      </c>
      <c r="DI16" s="43">
        <f t="shared" si="27"/>
        <v>1843010.3686020002</v>
      </c>
      <c r="DJ16" s="43">
        <f t="shared" si="27"/>
        <v>1843010.3686020002</v>
      </c>
      <c r="DK16" s="43">
        <f t="shared" si="27"/>
        <v>1474407.6313979998</v>
      </c>
      <c r="DL16" s="43">
        <f t="shared" si="27"/>
        <v>1474407.6313979998</v>
      </c>
      <c r="DM16" s="43">
        <f t="shared" si="27"/>
        <v>1474407.6313979998</v>
      </c>
      <c r="DN16" s="43">
        <f t="shared" si="27"/>
        <v>2211612</v>
      </c>
      <c r="DO16" s="43">
        <f t="shared" si="27"/>
        <v>2211612</v>
      </c>
      <c r="DP16" s="43">
        <f t="shared" si="27"/>
        <v>2211612</v>
      </c>
      <c r="DQ16" s="43">
        <f t="shared" si="27"/>
        <v>2211612</v>
      </c>
      <c r="DR16" s="43">
        <f t="shared" si="27"/>
        <v>2211612</v>
      </c>
      <c r="DS16" s="43">
        <f t="shared" si="27"/>
        <v>2211612</v>
      </c>
      <c r="DT16" s="43">
        <f t="shared" si="27"/>
        <v>2211612</v>
      </c>
      <c r="DU16" s="43">
        <f t="shared" si="27"/>
        <v>2211612</v>
      </c>
      <c r="DV16" s="43">
        <f t="shared" si="27"/>
        <v>2211612</v>
      </c>
      <c r="DW16" s="43">
        <f t="shared" si="27"/>
        <v>0</v>
      </c>
      <c r="DX16" s="43">
        <f t="shared" si="27"/>
        <v>0</v>
      </c>
      <c r="DY16" s="43">
        <f t="shared" si="27"/>
        <v>4.4232240000000003</v>
      </c>
      <c r="DZ16" s="43">
        <f t="shared" si="12"/>
        <v>110580599.99999994</v>
      </c>
      <c r="EA16" s="34" t="str">
        <f t="shared" si="13"/>
        <v>OK</v>
      </c>
    </row>
    <row r="17" spans="1:131">
      <c r="B17" s="34" t="s">
        <v>371</v>
      </c>
      <c r="C17" s="43">
        <f>'01_사업수지'!E11*0.1</f>
        <v>110580600</v>
      </c>
      <c r="CP17" s="43">
        <f>$C17*CP8</f>
        <v>51972882</v>
      </c>
      <c r="CQ17" s="43">
        <f t="shared" ref="CQ17:DY17" si="28">$C17*CQ7</f>
        <v>2211612</v>
      </c>
      <c r="CR17" s="43">
        <f t="shared" si="28"/>
        <v>2211612</v>
      </c>
      <c r="CS17" s="43">
        <f t="shared" si="28"/>
        <v>2211612</v>
      </c>
      <c r="CT17" s="43">
        <f t="shared" si="28"/>
        <v>2211612</v>
      </c>
      <c r="CU17" s="43">
        <f t="shared" si="28"/>
        <v>2211612</v>
      </c>
      <c r="CV17" s="43">
        <f t="shared" si="28"/>
        <v>1474407.6313979998</v>
      </c>
      <c r="CW17" s="43">
        <f t="shared" si="28"/>
        <v>1474407.6313979998</v>
      </c>
      <c r="CX17" s="43">
        <f t="shared" si="28"/>
        <v>1474407.6313979998</v>
      </c>
      <c r="CY17" s="43">
        <f t="shared" si="28"/>
        <v>1474407.6313979998</v>
      </c>
      <c r="CZ17" s="43">
        <f t="shared" si="28"/>
        <v>1474407.6313979998</v>
      </c>
      <c r="DA17" s="43">
        <f t="shared" si="28"/>
        <v>1474407.6313979998</v>
      </c>
      <c r="DB17" s="43">
        <f t="shared" si="28"/>
        <v>1474407.6313979998</v>
      </c>
      <c r="DC17" s="43">
        <f t="shared" si="28"/>
        <v>1474407.6313979998</v>
      </c>
      <c r="DD17" s="43">
        <f t="shared" si="28"/>
        <v>1474407.6313979998</v>
      </c>
      <c r="DE17" s="43">
        <f t="shared" si="28"/>
        <v>1474407.6313979998</v>
      </c>
      <c r="DF17" s="43">
        <f t="shared" si="28"/>
        <v>1474407.6313979998</v>
      </c>
      <c r="DG17" s="43">
        <f t="shared" si="28"/>
        <v>1474407.6313979998</v>
      </c>
      <c r="DH17" s="43">
        <f t="shared" si="28"/>
        <v>1843010.3686020002</v>
      </c>
      <c r="DI17" s="43">
        <f t="shared" si="28"/>
        <v>1843010.3686020002</v>
      </c>
      <c r="DJ17" s="43">
        <f t="shared" si="28"/>
        <v>1843010.3686020002</v>
      </c>
      <c r="DK17" s="43">
        <f t="shared" si="28"/>
        <v>1474407.6313979998</v>
      </c>
      <c r="DL17" s="43">
        <f t="shared" si="28"/>
        <v>1474407.6313979998</v>
      </c>
      <c r="DM17" s="43">
        <f t="shared" si="28"/>
        <v>1474407.6313979998</v>
      </c>
      <c r="DN17" s="43">
        <f t="shared" si="28"/>
        <v>2211612</v>
      </c>
      <c r="DO17" s="43">
        <f t="shared" si="28"/>
        <v>2211612</v>
      </c>
      <c r="DP17" s="43">
        <f t="shared" si="28"/>
        <v>2211612</v>
      </c>
      <c r="DQ17" s="43">
        <f t="shared" si="28"/>
        <v>2211612</v>
      </c>
      <c r="DR17" s="43">
        <f t="shared" si="28"/>
        <v>2211612</v>
      </c>
      <c r="DS17" s="43">
        <f t="shared" si="28"/>
        <v>2211612</v>
      </c>
      <c r="DT17" s="43">
        <f t="shared" si="28"/>
        <v>2211612</v>
      </c>
      <c r="DU17" s="43">
        <f t="shared" si="28"/>
        <v>2211612</v>
      </c>
      <c r="DV17" s="43">
        <f t="shared" si="28"/>
        <v>2211612</v>
      </c>
      <c r="DW17" s="43">
        <f t="shared" si="28"/>
        <v>0</v>
      </c>
      <c r="DX17" s="43">
        <f t="shared" si="28"/>
        <v>0</v>
      </c>
      <c r="DY17" s="43">
        <f t="shared" si="28"/>
        <v>4.4232240000000003</v>
      </c>
      <c r="DZ17" s="43">
        <f t="shared" si="12"/>
        <v>110580599.99999994</v>
      </c>
      <c r="EA17" s="34" t="str">
        <f t="shared" si="13"/>
        <v>OK</v>
      </c>
    </row>
    <row r="18" spans="1:131">
      <c r="B18" s="34" t="s">
        <v>372</v>
      </c>
      <c r="C18" s="43">
        <f>'01_사업수지'!E11*0.3</f>
        <v>331741800</v>
      </c>
      <c r="DY18" s="43">
        <f>$C18*DY8</f>
        <v>331741800.00000024</v>
      </c>
      <c r="DZ18" s="43">
        <f t="shared" si="12"/>
        <v>331741800.00000024</v>
      </c>
      <c r="EA18" s="34" t="str">
        <f t="shared" si="13"/>
        <v>OK</v>
      </c>
    </row>
    <row r="19" spans="1:131">
      <c r="B19" s="29" t="s">
        <v>373</v>
      </c>
      <c r="C19" s="43">
        <f t="shared" ref="C19:AH19" si="29">SUM(C11:C18)</f>
        <v>1105806000</v>
      </c>
      <c r="D19" s="43">
        <f t="shared" si="29"/>
        <v>0</v>
      </c>
      <c r="E19" s="43">
        <f t="shared" si="29"/>
        <v>0</v>
      </c>
      <c r="F19" s="43">
        <f t="shared" si="29"/>
        <v>0</v>
      </c>
      <c r="G19" s="43">
        <f t="shared" si="29"/>
        <v>0</v>
      </c>
      <c r="H19" s="43">
        <f t="shared" si="29"/>
        <v>0</v>
      </c>
      <c r="I19" s="43">
        <f t="shared" si="29"/>
        <v>0</v>
      </c>
      <c r="J19" s="43">
        <f t="shared" si="29"/>
        <v>0</v>
      </c>
      <c r="K19" s="43">
        <f t="shared" si="29"/>
        <v>0</v>
      </c>
      <c r="L19" s="43">
        <f t="shared" si="29"/>
        <v>0</v>
      </c>
      <c r="M19" s="43">
        <f t="shared" si="29"/>
        <v>0</v>
      </c>
      <c r="N19" s="43">
        <f t="shared" si="29"/>
        <v>0</v>
      </c>
      <c r="O19" s="43">
        <f t="shared" si="29"/>
        <v>0</v>
      </c>
      <c r="P19" s="43">
        <f t="shared" si="29"/>
        <v>0</v>
      </c>
      <c r="Q19" s="43">
        <f t="shared" si="29"/>
        <v>0</v>
      </c>
      <c r="R19" s="43">
        <f t="shared" si="29"/>
        <v>0</v>
      </c>
      <c r="S19" s="43">
        <f t="shared" si="29"/>
        <v>0</v>
      </c>
      <c r="T19" s="43">
        <f t="shared" si="29"/>
        <v>0</v>
      </c>
      <c r="U19" s="43">
        <f t="shared" si="29"/>
        <v>0</v>
      </c>
      <c r="V19" s="43">
        <f t="shared" si="29"/>
        <v>0</v>
      </c>
      <c r="W19" s="43">
        <f t="shared" si="29"/>
        <v>0</v>
      </c>
      <c r="X19" s="43">
        <f t="shared" si="29"/>
        <v>0</v>
      </c>
      <c r="Y19" s="43">
        <f t="shared" si="29"/>
        <v>0</v>
      </c>
      <c r="Z19" s="43">
        <f t="shared" si="29"/>
        <v>0</v>
      </c>
      <c r="AA19" s="43">
        <f t="shared" si="29"/>
        <v>0</v>
      </c>
      <c r="AB19" s="43">
        <f t="shared" si="29"/>
        <v>0</v>
      </c>
      <c r="AC19" s="43">
        <f t="shared" si="29"/>
        <v>0</v>
      </c>
      <c r="AD19" s="43">
        <f t="shared" si="29"/>
        <v>0</v>
      </c>
      <c r="AE19" s="43">
        <f t="shared" si="29"/>
        <v>0</v>
      </c>
      <c r="AF19" s="43">
        <f t="shared" si="29"/>
        <v>0</v>
      </c>
      <c r="AG19" s="43">
        <f t="shared" si="29"/>
        <v>0</v>
      </c>
      <c r="AH19" s="43">
        <f t="shared" si="29"/>
        <v>0</v>
      </c>
      <c r="AI19" s="43">
        <f t="shared" ref="AI19:BN19" si="30">SUM(AI11:AI18)</f>
        <v>0</v>
      </c>
      <c r="AJ19" s="43">
        <f t="shared" si="30"/>
        <v>0</v>
      </c>
      <c r="AK19" s="43">
        <f t="shared" si="30"/>
        <v>0</v>
      </c>
      <c r="AL19" s="43">
        <f t="shared" si="30"/>
        <v>0</v>
      </c>
      <c r="AM19" s="43">
        <f t="shared" si="30"/>
        <v>0</v>
      </c>
      <c r="AN19" s="43">
        <f t="shared" si="30"/>
        <v>0</v>
      </c>
      <c r="AO19" s="43">
        <f t="shared" si="30"/>
        <v>0</v>
      </c>
      <c r="AP19" s="43">
        <f t="shared" si="30"/>
        <v>0</v>
      </c>
      <c r="AQ19" s="43">
        <f t="shared" si="30"/>
        <v>0</v>
      </c>
      <c r="AR19" s="43">
        <f t="shared" si="30"/>
        <v>0</v>
      </c>
      <c r="AS19" s="43">
        <f t="shared" si="30"/>
        <v>0</v>
      </c>
      <c r="AT19" s="43">
        <f t="shared" si="30"/>
        <v>0</v>
      </c>
      <c r="AU19" s="43">
        <f t="shared" si="30"/>
        <v>0</v>
      </c>
      <c r="AV19" s="43">
        <f t="shared" si="30"/>
        <v>0</v>
      </c>
      <c r="AW19" s="43">
        <f t="shared" si="30"/>
        <v>0</v>
      </c>
      <c r="AX19" s="43">
        <f t="shared" si="30"/>
        <v>0</v>
      </c>
      <c r="AY19" s="43">
        <f t="shared" si="30"/>
        <v>0</v>
      </c>
      <c r="AZ19" s="43">
        <f t="shared" si="30"/>
        <v>0</v>
      </c>
      <c r="BA19" s="43">
        <f t="shared" si="30"/>
        <v>0</v>
      </c>
      <c r="BB19" s="43">
        <f t="shared" si="30"/>
        <v>0</v>
      </c>
      <c r="BC19" s="43">
        <f t="shared" si="30"/>
        <v>0</v>
      </c>
      <c r="BD19" s="43">
        <f t="shared" si="30"/>
        <v>0</v>
      </c>
      <c r="BE19" s="43">
        <f t="shared" si="30"/>
        <v>0</v>
      </c>
      <c r="BF19" s="43">
        <f t="shared" si="30"/>
        <v>0</v>
      </c>
      <c r="BG19" s="43">
        <f t="shared" si="30"/>
        <v>0</v>
      </c>
      <c r="BH19" s="43">
        <f t="shared" si="30"/>
        <v>0</v>
      </c>
      <c r="BI19" s="43">
        <f t="shared" si="30"/>
        <v>0</v>
      </c>
      <c r="BJ19" s="43">
        <f t="shared" si="30"/>
        <v>0</v>
      </c>
      <c r="BK19" s="43">
        <f t="shared" si="30"/>
        <v>0</v>
      </c>
      <c r="BL19" s="43">
        <f t="shared" si="30"/>
        <v>0</v>
      </c>
      <c r="BM19" s="43">
        <f t="shared" si="30"/>
        <v>0</v>
      </c>
      <c r="BN19" s="43">
        <f t="shared" si="30"/>
        <v>0</v>
      </c>
      <c r="BO19" s="43">
        <f t="shared" ref="BO19:CT19" si="31">SUM(BO11:BO18)</f>
        <v>0</v>
      </c>
      <c r="BP19" s="43">
        <f t="shared" si="31"/>
        <v>0</v>
      </c>
      <c r="BQ19" s="43">
        <f t="shared" si="31"/>
        <v>0</v>
      </c>
      <c r="BR19" s="43">
        <f t="shared" si="31"/>
        <v>0</v>
      </c>
      <c r="BS19" s="43">
        <f t="shared" si="31"/>
        <v>0</v>
      </c>
      <c r="BT19" s="43">
        <f t="shared" si="31"/>
        <v>0</v>
      </c>
      <c r="BU19" s="43">
        <f t="shared" si="31"/>
        <v>0</v>
      </c>
      <c r="BV19" s="43">
        <f t="shared" si="31"/>
        <v>0</v>
      </c>
      <c r="BW19" s="43">
        <f t="shared" si="31"/>
        <v>0</v>
      </c>
      <c r="BX19" s="43">
        <f t="shared" si="31"/>
        <v>0</v>
      </c>
      <c r="BY19" s="43">
        <f t="shared" si="31"/>
        <v>0</v>
      </c>
      <c r="BZ19" s="43">
        <f t="shared" si="31"/>
        <v>0</v>
      </c>
      <c r="CA19" s="43">
        <f t="shared" si="31"/>
        <v>0</v>
      </c>
      <c r="CB19" s="43">
        <f t="shared" si="31"/>
        <v>0</v>
      </c>
      <c r="CC19" s="43">
        <f t="shared" si="31"/>
        <v>0</v>
      </c>
      <c r="CD19" s="43">
        <f t="shared" si="31"/>
        <v>0</v>
      </c>
      <c r="CE19" s="43">
        <f t="shared" si="31"/>
        <v>0</v>
      </c>
      <c r="CF19" s="43">
        <f t="shared" si="31"/>
        <v>0</v>
      </c>
      <c r="CG19" s="43">
        <f t="shared" si="31"/>
        <v>0</v>
      </c>
      <c r="CH19" s="43">
        <f t="shared" si="31"/>
        <v>0</v>
      </c>
      <c r="CI19" s="43">
        <f t="shared" si="31"/>
        <v>0</v>
      </c>
      <c r="CJ19" s="43">
        <f t="shared" si="31"/>
        <v>75194805.788387999</v>
      </c>
      <c r="CK19" s="43">
        <f t="shared" si="31"/>
        <v>75194805.788387999</v>
      </c>
      <c r="CL19" s="43">
        <f t="shared" si="31"/>
        <v>75194805.788387999</v>
      </c>
      <c r="CM19" s="43">
        <f t="shared" si="31"/>
        <v>24327734.211611997</v>
      </c>
      <c r="CN19" s="43">
        <f t="shared" si="31"/>
        <v>24327734.211611997</v>
      </c>
      <c r="CO19" s="43">
        <f t="shared" si="31"/>
        <v>24327734.211611997</v>
      </c>
      <c r="CP19" s="43">
        <f t="shared" si="31"/>
        <v>65242554</v>
      </c>
      <c r="CQ19" s="43">
        <f t="shared" si="31"/>
        <v>15481284</v>
      </c>
      <c r="CR19" s="43">
        <f t="shared" si="31"/>
        <v>15481284</v>
      </c>
      <c r="CS19" s="43">
        <f t="shared" si="31"/>
        <v>15481284</v>
      </c>
      <c r="CT19" s="43">
        <f t="shared" si="31"/>
        <v>15481284</v>
      </c>
      <c r="CU19" s="43">
        <f t="shared" ref="CU19:DZ19" si="32">SUM(CU11:CU18)</f>
        <v>15481284</v>
      </c>
      <c r="CV19" s="43">
        <f t="shared" si="32"/>
        <v>10320853.419785999</v>
      </c>
      <c r="CW19" s="43">
        <f t="shared" si="32"/>
        <v>10320853.419785999</v>
      </c>
      <c r="CX19" s="43">
        <f t="shared" si="32"/>
        <v>10320853.419785999</v>
      </c>
      <c r="CY19" s="43">
        <f t="shared" si="32"/>
        <v>10320853.419785999</v>
      </c>
      <c r="CZ19" s="43">
        <f t="shared" si="32"/>
        <v>10320853.419785999</v>
      </c>
      <c r="DA19" s="43">
        <f t="shared" si="32"/>
        <v>10320853.419785999</v>
      </c>
      <c r="DB19" s="43">
        <f t="shared" si="32"/>
        <v>10320853.419785999</v>
      </c>
      <c r="DC19" s="43">
        <f t="shared" si="32"/>
        <v>10320853.419785999</v>
      </c>
      <c r="DD19" s="43">
        <f t="shared" si="32"/>
        <v>10320853.419785999</v>
      </c>
      <c r="DE19" s="43">
        <f t="shared" si="32"/>
        <v>10320853.419785999</v>
      </c>
      <c r="DF19" s="43">
        <f t="shared" si="32"/>
        <v>10320853.419785999</v>
      </c>
      <c r="DG19" s="43">
        <f t="shared" si="32"/>
        <v>10320853.419785999</v>
      </c>
      <c r="DH19" s="43">
        <f t="shared" si="32"/>
        <v>12901072.580214001</v>
      </c>
      <c r="DI19" s="43">
        <f t="shared" si="32"/>
        <v>12901072.580214001</v>
      </c>
      <c r="DJ19" s="43">
        <f t="shared" si="32"/>
        <v>12901072.580214001</v>
      </c>
      <c r="DK19" s="43">
        <f t="shared" si="32"/>
        <v>10320853.419785999</v>
      </c>
      <c r="DL19" s="43">
        <f t="shared" si="32"/>
        <v>10320853.419785999</v>
      </c>
      <c r="DM19" s="43">
        <f t="shared" si="32"/>
        <v>10320853.419785999</v>
      </c>
      <c r="DN19" s="43">
        <f t="shared" si="32"/>
        <v>15481284</v>
      </c>
      <c r="DO19" s="43">
        <f t="shared" si="32"/>
        <v>15481284</v>
      </c>
      <c r="DP19" s="43">
        <f t="shared" si="32"/>
        <v>15481284</v>
      </c>
      <c r="DQ19" s="43">
        <f t="shared" si="32"/>
        <v>15481284</v>
      </c>
      <c r="DR19" s="43">
        <f t="shared" si="32"/>
        <v>15481284</v>
      </c>
      <c r="DS19" s="43">
        <f t="shared" si="32"/>
        <v>15481284</v>
      </c>
      <c r="DT19" s="43">
        <f t="shared" si="32"/>
        <v>15481284</v>
      </c>
      <c r="DU19" s="43">
        <f t="shared" si="32"/>
        <v>15481284</v>
      </c>
      <c r="DV19" s="43">
        <f t="shared" si="32"/>
        <v>15481284</v>
      </c>
      <c r="DW19" s="43">
        <f t="shared" si="32"/>
        <v>0</v>
      </c>
      <c r="DX19" s="43">
        <f t="shared" si="32"/>
        <v>0</v>
      </c>
      <c r="DY19" s="43">
        <f t="shared" si="32"/>
        <v>331741830.96256822</v>
      </c>
      <c r="DZ19" s="43">
        <f t="shared" si="12"/>
        <v>1105806000</v>
      </c>
    </row>
    <row r="21" spans="1:131">
      <c r="A21" s="29" t="s">
        <v>374</v>
      </c>
    </row>
    <row r="22" spans="1:131">
      <c r="B22" s="34" t="s">
        <v>91</v>
      </c>
      <c r="C22" s="43">
        <f>'01_사업수지'!H26</f>
        <v>88360155</v>
      </c>
      <c r="D22" s="43">
        <f>$C22</f>
        <v>88360155</v>
      </c>
      <c r="DZ22" s="43">
        <f>SUM(D22:DY22)</f>
        <v>88360155</v>
      </c>
      <c r="EA22" s="34" t="str">
        <f>IF(ROUND(DZ22,0)=ROUND(C22,0),"OK","불일치")</f>
        <v>OK</v>
      </c>
    </row>
    <row r="23" spans="1:131">
      <c r="B23" s="34" t="s">
        <v>120</v>
      </c>
      <c r="C23" s="43">
        <f>'01_사업수지'!H41</f>
        <v>1136372264</v>
      </c>
      <c r="D23" s="43">
        <f t="shared" ref="D23:AI23" si="33">$C23*D5</f>
        <v>83330.178119119999</v>
      </c>
      <c r="E23" s="43">
        <f t="shared" si="33"/>
        <v>83330.178119119999</v>
      </c>
      <c r="F23" s="43">
        <f t="shared" si="33"/>
        <v>83330.178119119999</v>
      </c>
      <c r="G23" s="43">
        <f t="shared" si="33"/>
        <v>83330.178119119999</v>
      </c>
      <c r="H23" s="43">
        <f t="shared" si="33"/>
        <v>83330.178119119999</v>
      </c>
      <c r="I23" s="43">
        <f t="shared" si="33"/>
        <v>83330.178119119999</v>
      </c>
      <c r="J23" s="43">
        <f t="shared" si="33"/>
        <v>83330.178119119999</v>
      </c>
      <c r="K23" s="43">
        <f t="shared" si="33"/>
        <v>83330.178119119999</v>
      </c>
      <c r="L23" s="43">
        <f t="shared" si="33"/>
        <v>83330.178119119999</v>
      </c>
      <c r="M23" s="43">
        <f t="shared" si="33"/>
        <v>83330.178119119999</v>
      </c>
      <c r="N23" s="43">
        <f t="shared" si="33"/>
        <v>83330.178119119999</v>
      </c>
      <c r="O23" s="43">
        <f t="shared" si="33"/>
        <v>83330.178119119999</v>
      </c>
      <c r="P23" s="43">
        <f t="shared" si="33"/>
        <v>83330.178119119999</v>
      </c>
      <c r="Q23" s="43">
        <f t="shared" si="33"/>
        <v>83330.178119119999</v>
      </c>
      <c r="R23" s="43">
        <f t="shared" si="33"/>
        <v>83330.178119119999</v>
      </c>
      <c r="S23" s="43">
        <f t="shared" si="33"/>
        <v>83330.178119119999</v>
      </c>
      <c r="T23" s="43">
        <f t="shared" si="33"/>
        <v>83330.178119119999</v>
      </c>
      <c r="U23" s="43">
        <f t="shared" si="33"/>
        <v>83330.178119119999</v>
      </c>
      <c r="V23" s="43">
        <f t="shared" si="33"/>
        <v>83330.178119119999</v>
      </c>
      <c r="W23" s="43">
        <f t="shared" si="33"/>
        <v>583333.97427911998</v>
      </c>
      <c r="X23" s="43">
        <f t="shared" si="33"/>
        <v>83330.178119119999</v>
      </c>
      <c r="Y23" s="43">
        <f t="shared" si="33"/>
        <v>83330.178119119999</v>
      </c>
      <c r="Z23" s="43">
        <f t="shared" si="33"/>
        <v>83330.178119119999</v>
      </c>
      <c r="AA23" s="43">
        <f t="shared" si="33"/>
        <v>83330.178119119999</v>
      </c>
      <c r="AB23" s="43">
        <f t="shared" si="33"/>
        <v>237183.61894208001</v>
      </c>
      <c r="AC23" s="43">
        <f t="shared" si="33"/>
        <v>237183.61894208001</v>
      </c>
      <c r="AD23" s="43">
        <f t="shared" si="33"/>
        <v>237183.61894208001</v>
      </c>
      <c r="AE23" s="43">
        <f t="shared" si="33"/>
        <v>237183.61894208001</v>
      </c>
      <c r="AF23" s="43">
        <f t="shared" si="33"/>
        <v>237183.61894208001</v>
      </c>
      <c r="AG23" s="43">
        <f t="shared" si="33"/>
        <v>237183.61894208001</v>
      </c>
      <c r="AH23" s="43">
        <f t="shared" si="33"/>
        <v>237183.61894208001</v>
      </c>
      <c r="AI23" s="43">
        <f t="shared" si="33"/>
        <v>237183.61894208001</v>
      </c>
      <c r="AJ23" s="43">
        <f t="shared" ref="AJ23:BO23" si="34">$C23*AJ5</f>
        <v>237183.61894208001</v>
      </c>
      <c r="AK23" s="43">
        <f t="shared" si="34"/>
        <v>237183.61894208001</v>
      </c>
      <c r="AL23" s="43">
        <f t="shared" si="34"/>
        <v>237183.61894208001</v>
      </c>
      <c r="AM23" s="43">
        <f t="shared" si="34"/>
        <v>237183.61894208001</v>
      </c>
      <c r="AN23" s="43">
        <f t="shared" si="34"/>
        <v>153842.07710031999</v>
      </c>
      <c r="AO23" s="43">
        <f t="shared" si="34"/>
        <v>589140.83654815995</v>
      </c>
      <c r="AP23" s="43">
        <f t="shared" si="34"/>
        <v>589140.83654815995</v>
      </c>
      <c r="AQ23" s="43">
        <f t="shared" si="34"/>
        <v>589140.83654815995</v>
      </c>
      <c r="AR23" s="43">
        <f t="shared" si="34"/>
        <v>589140.83654815995</v>
      </c>
      <c r="AS23" s="43">
        <f t="shared" si="34"/>
        <v>589140.83654815995</v>
      </c>
      <c r="AT23" s="43">
        <f t="shared" si="34"/>
        <v>589140.83654815995</v>
      </c>
      <c r="AU23" s="43">
        <f t="shared" si="34"/>
        <v>589140.83654815995</v>
      </c>
      <c r="AV23" s="43">
        <f t="shared" si="34"/>
        <v>589140.83654815995</v>
      </c>
      <c r="AW23" s="43">
        <f t="shared" si="34"/>
        <v>589140.83654815995</v>
      </c>
      <c r="AX23" s="43">
        <f t="shared" si="34"/>
        <v>589140.83654815995</v>
      </c>
      <c r="AY23" s="43">
        <f t="shared" si="34"/>
        <v>589140.83654815995</v>
      </c>
      <c r="AZ23" s="43">
        <f t="shared" si="34"/>
        <v>589140.83654815995</v>
      </c>
      <c r="BA23" s="43">
        <f t="shared" si="34"/>
        <v>589140.83654815995</v>
      </c>
      <c r="BB23" s="43">
        <f t="shared" si="34"/>
        <v>435298.75944783998</v>
      </c>
      <c r="BC23" s="43">
        <f t="shared" si="34"/>
        <v>435298.75944783998</v>
      </c>
      <c r="BD23" s="43">
        <f t="shared" si="34"/>
        <v>435298.75944783998</v>
      </c>
      <c r="BE23" s="43">
        <f t="shared" si="34"/>
        <v>435298.75944783998</v>
      </c>
      <c r="BF23" s="43">
        <f t="shared" si="34"/>
        <v>0</v>
      </c>
      <c r="BG23" s="43">
        <f t="shared" si="34"/>
        <v>0</v>
      </c>
      <c r="BH23" s="43">
        <f t="shared" si="34"/>
        <v>0</v>
      </c>
      <c r="BI23" s="43">
        <f t="shared" si="34"/>
        <v>0</v>
      </c>
      <c r="BJ23" s="43">
        <f t="shared" si="34"/>
        <v>0</v>
      </c>
      <c r="BK23" s="43">
        <f t="shared" si="34"/>
        <v>0</v>
      </c>
      <c r="BL23" s="43">
        <f t="shared" si="34"/>
        <v>0</v>
      </c>
      <c r="BM23" s="43">
        <f t="shared" si="34"/>
        <v>0</v>
      </c>
      <c r="BN23" s="43">
        <f t="shared" si="34"/>
        <v>0</v>
      </c>
      <c r="BO23" s="43">
        <f t="shared" si="34"/>
        <v>0</v>
      </c>
      <c r="BP23" s="43">
        <f t="shared" ref="BP23:CU23" si="35">$C23*BP5</f>
        <v>0</v>
      </c>
      <c r="BQ23" s="43">
        <f t="shared" si="35"/>
        <v>0</v>
      </c>
      <c r="BR23" s="43">
        <f t="shared" si="35"/>
        <v>1901343.9809568801</v>
      </c>
      <c r="BS23" s="43">
        <f t="shared" si="35"/>
        <v>1901343.9809568801</v>
      </c>
      <c r="BT23" s="43">
        <f t="shared" si="35"/>
        <v>1901343.9809568801</v>
      </c>
      <c r="BU23" s="43">
        <f t="shared" si="35"/>
        <v>1901343.9809568801</v>
      </c>
      <c r="BV23" s="43">
        <f t="shared" si="35"/>
        <v>1901343.9809568801</v>
      </c>
      <c r="BW23" s="43">
        <f t="shared" si="35"/>
        <v>1901343.9809568801</v>
      </c>
      <c r="BX23" s="43">
        <f t="shared" si="35"/>
        <v>1901343.9809568801</v>
      </c>
      <c r="BY23" s="43">
        <f t="shared" si="35"/>
        <v>1901343.9809568801</v>
      </c>
      <c r="BZ23" s="43">
        <f t="shared" si="35"/>
        <v>1901343.9809568801</v>
      </c>
      <c r="CA23" s="43">
        <f t="shared" si="35"/>
        <v>1901343.9809568801</v>
      </c>
      <c r="CB23" s="43">
        <f t="shared" si="35"/>
        <v>1901343.9809568801</v>
      </c>
      <c r="CC23" s="43">
        <f t="shared" si="35"/>
        <v>1901343.9809568801</v>
      </c>
      <c r="CD23" s="43">
        <f t="shared" si="35"/>
        <v>1901343.9809568801</v>
      </c>
      <c r="CE23" s="43">
        <f t="shared" si="35"/>
        <v>1901343.9809568801</v>
      </c>
      <c r="CF23" s="43">
        <f t="shared" si="35"/>
        <v>1901343.9809568801</v>
      </c>
      <c r="CG23" s="43">
        <f t="shared" si="35"/>
        <v>1901343.9809568801</v>
      </c>
      <c r="CH23" s="43">
        <f t="shared" si="35"/>
        <v>1901343.9809568801</v>
      </c>
      <c r="CI23" s="43">
        <f t="shared" si="35"/>
        <v>1901343.9809568801</v>
      </c>
      <c r="CJ23" s="43">
        <f t="shared" si="35"/>
        <v>7400169.8203943996</v>
      </c>
      <c r="CK23" s="43">
        <f t="shared" si="35"/>
        <v>12898995.659831921</v>
      </c>
      <c r="CL23" s="43">
        <f t="shared" si="35"/>
        <v>18397810.135546803</v>
      </c>
      <c r="CM23" s="43">
        <f t="shared" si="35"/>
        <v>23896635.974984318</v>
      </c>
      <c r="CN23" s="43">
        <f t="shared" si="35"/>
        <v>29395450.450699199</v>
      </c>
      <c r="CO23" s="43">
        <f t="shared" si="35"/>
        <v>34894276.290136725</v>
      </c>
      <c r="CP23" s="43">
        <f t="shared" si="35"/>
        <v>38697305.163729683</v>
      </c>
      <c r="CQ23" s="43">
        <f t="shared" si="35"/>
        <v>44196131.003167197</v>
      </c>
      <c r="CR23" s="43">
        <f t="shared" si="35"/>
        <v>44196131.003167197</v>
      </c>
      <c r="CS23" s="43">
        <f t="shared" si="35"/>
        <v>44196131.003167197</v>
      </c>
      <c r="CT23" s="43">
        <f t="shared" si="35"/>
        <v>44196131.003167197</v>
      </c>
      <c r="CU23" s="43">
        <f t="shared" si="35"/>
        <v>44196131.003167197</v>
      </c>
      <c r="CV23" s="43">
        <f t="shared" ref="CV23:DY23" si="36">$C23*CV5</f>
        <v>44196131.003167197</v>
      </c>
      <c r="CW23" s="43">
        <f t="shared" si="36"/>
        <v>44196131.003167197</v>
      </c>
      <c r="CX23" s="43">
        <f t="shared" si="36"/>
        <v>44196131.003167197</v>
      </c>
      <c r="CY23" s="43">
        <f t="shared" si="36"/>
        <v>44196131.003167197</v>
      </c>
      <c r="CZ23" s="43">
        <f t="shared" si="36"/>
        <v>44196131.003167197</v>
      </c>
      <c r="DA23" s="43">
        <f t="shared" si="36"/>
        <v>44196131.003167197</v>
      </c>
      <c r="DB23" s="43">
        <f t="shared" si="36"/>
        <v>44196131.003167197</v>
      </c>
      <c r="DC23" s="43">
        <f t="shared" si="36"/>
        <v>44196131.003167197</v>
      </c>
      <c r="DD23" s="43">
        <f t="shared" si="36"/>
        <v>44196131.003167197</v>
      </c>
      <c r="DE23" s="43">
        <f t="shared" si="36"/>
        <v>38697305.163729683</v>
      </c>
      <c r="DF23" s="43">
        <f t="shared" si="36"/>
        <v>33198479.324292161</v>
      </c>
      <c r="DG23" s="43">
        <f t="shared" si="36"/>
        <v>27699664.84857728</v>
      </c>
      <c r="DH23" s="43">
        <f t="shared" si="36"/>
        <v>27699664.84857728</v>
      </c>
      <c r="DI23" s="43">
        <f t="shared" si="36"/>
        <v>23009936.061107762</v>
      </c>
      <c r="DJ23" s="43">
        <f t="shared" si="36"/>
        <v>23009936.061107762</v>
      </c>
      <c r="DK23" s="43">
        <f t="shared" si="36"/>
        <v>17511110.22167024</v>
      </c>
      <c r="DL23" s="43">
        <f t="shared" si="36"/>
        <v>17511110.22167024</v>
      </c>
      <c r="DM23" s="43">
        <f t="shared" si="36"/>
        <v>12012284.38223272</v>
      </c>
      <c r="DN23" s="43">
        <f t="shared" si="36"/>
        <v>12012284.38223272</v>
      </c>
      <c r="DO23" s="43">
        <f t="shared" si="36"/>
        <v>12012284.38223272</v>
      </c>
      <c r="DP23" s="43">
        <f t="shared" si="36"/>
        <v>6513469.90651784</v>
      </c>
      <c r="DQ23" s="43">
        <f t="shared" si="36"/>
        <v>6513469.90651784</v>
      </c>
      <c r="DR23" s="43">
        <f t="shared" si="36"/>
        <v>6513469.90651784</v>
      </c>
      <c r="DS23" s="43">
        <f t="shared" si="36"/>
        <v>39007102.970341362</v>
      </c>
      <c r="DT23" s="43">
        <f t="shared" si="36"/>
        <v>0</v>
      </c>
      <c r="DU23" s="43">
        <f t="shared" si="36"/>
        <v>0</v>
      </c>
      <c r="DV23" s="43">
        <f t="shared" si="36"/>
        <v>0</v>
      </c>
      <c r="DW23" s="43">
        <f t="shared" si="36"/>
        <v>0</v>
      </c>
      <c r="DX23" s="43">
        <f t="shared" si="36"/>
        <v>0</v>
      </c>
      <c r="DY23" s="43">
        <f t="shared" si="36"/>
        <v>22.727445280000001</v>
      </c>
      <c r="DZ23" s="43">
        <f>SUM(D23:DY23)</f>
        <v>1136372263.9999995</v>
      </c>
      <c r="EA23" s="34" t="str">
        <f>IF(ROUND(DZ23,0)=ROUND(C23,0),"OK","불일치")</f>
        <v>OK</v>
      </c>
    </row>
    <row r="24" spans="1:131">
      <c r="B24" s="34" t="s">
        <v>151</v>
      </c>
      <c r="C24" s="43">
        <f>'01_사업수지'!H63</f>
        <v>343741906</v>
      </c>
      <c r="D24" s="43">
        <f t="shared" ref="D24:AI24" si="37">$C24/126</f>
        <v>2728110.3650793652</v>
      </c>
      <c r="E24" s="43">
        <f t="shared" si="37"/>
        <v>2728110.3650793652</v>
      </c>
      <c r="F24" s="43">
        <f t="shared" si="37"/>
        <v>2728110.3650793652</v>
      </c>
      <c r="G24" s="43">
        <f t="shared" si="37"/>
        <v>2728110.3650793652</v>
      </c>
      <c r="H24" s="43">
        <f t="shared" si="37"/>
        <v>2728110.3650793652</v>
      </c>
      <c r="I24" s="43">
        <f t="shared" si="37"/>
        <v>2728110.3650793652</v>
      </c>
      <c r="J24" s="43">
        <f t="shared" si="37"/>
        <v>2728110.3650793652</v>
      </c>
      <c r="K24" s="43">
        <f t="shared" si="37"/>
        <v>2728110.3650793652</v>
      </c>
      <c r="L24" s="43">
        <f t="shared" si="37"/>
        <v>2728110.3650793652</v>
      </c>
      <c r="M24" s="43">
        <f t="shared" si="37"/>
        <v>2728110.3650793652</v>
      </c>
      <c r="N24" s="43">
        <f t="shared" si="37"/>
        <v>2728110.3650793652</v>
      </c>
      <c r="O24" s="43">
        <f t="shared" si="37"/>
        <v>2728110.3650793652</v>
      </c>
      <c r="P24" s="43">
        <f t="shared" si="37"/>
        <v>2728110.3650793652</v>
      </c>
      <c r="Q24" s="43">
        <f t="shared" si="37"/>
        <v>2728110.3650793652</v>
      </c>
      <c r="R24" s="43">
        <f t="shared" si="37"/>
        <v>2728110.3650793652</v>
      </c>
      <c r="S24" s="43">
        <f t="shared" si="37"/>
        <v>2728110.3650793652</v>
      </c>
      <c r="T24" s="43">
        <f t="shared" si="37"/>
        <v>2728110.3650793652</v>
      </c>
      <c r="U24" s="43">
        <f t="shared" si="37"/>
        <v>2728110.3650793652</v>
      </c>
      <c r="V24" s="43">
        <f t="shared" si="37"/>
        <v>2728110.3650793652</v>
      </c>
      <c r="W24" s="43">
        <f t="shared" si="37"/>
        <v>2728110.3650793652</v>
      </c>
      <c r="X24" s="43">
        <f t="shared" si="37"/>
        <v>2728110.3650793652</v>
      </c>
      <c r="Y24" s="43">
        <f t="shared" si="37"/>
        <v>2728110.3650793652</v>
      </c>
      <c r="Z24" s="43">
        <f t="shared" si="37"/>
        <v>2728110.3650793652</v>
      </c>
      <c r="AA24" s="43">
        <f t="shared" si="37"/>
        <v>2728110.3650793652</v>
      </c>
      <c r="AB24" s="43">
        <f t="shared" si="37"/>
        <v>2728110.3650793652</v>
      </c>
      <c r="AC24" s="43">
        <f t="shared" si="37"/>
        <v>2728110.3650793652</v>
      </c>
      <c r="AD24" s="43">
        <f t="shared" si="37"/>
        <v>2728110.3650793652</v>
      </c>
      <c r="AE24" s="43">
        <f t="shared" si="37"/>
        <v>2728110.3650793652</v>
      </c>
      <c r="AF24" s="43">
        <f t="shared" si="37"/>
        <v>2728110.3650793652</v>
      </c>
      <c r="AG24" s="43">
        <f t="shared" si="37"/>
        <v>2728110.3650793652</v>
      </c>
      <c r="AH24" s="43">
        <f t="shared" si="37"/>
        <v>2728110.3650793652</v>
      </c>
      <c r="AI24" s="43">
        <f t="shared" si="37"/>
        <v>2728110.3650793652</v>
      </c>
      <c r="AJ24" s="43">
        <f t="shared" ref="AJ24:BO24" si="38">$C24/126</f>
        <v>2728110.3650793652</v>
      </c>
      <c r="AK24" s="43">
        <f t="shared" si="38"/>
        <v>2728110.3650793652</v>
      </c>
      <c r="AL24" s="43">
        <f t="shared" si="38"/>
        <v>2728110.3650793652</v>
      </c>
      <c r="AM24" s="43">
        <f t="shared" si="38"/>
        <v>2728110.3650793652</v>
      </c>
      <c r="AN24" s="43">
        <f t="shared" si="38"/>
        <v>2728110.3650793652</v>
      </c>
      <c r="AO24" s="43">
        <f t="shared" si="38"/>
        <v>2728110.3650793652</v>
      </c>
      <c r="AP24" s="43">
        <f t="shared" si="38"/>
        <v>2728110.3650793652</v>
      </c>
      <c r="AQ24" s="43">
        <f t="shared" si="38"/>
        <v>2728110.3650793652</v>
      </c>
      <c r="AR24" s="43">
        <f t="shared" si="38"/>
        <v>2728110.3650793652</v>
      </c>
      <c r="AS24" s="43">
        <f t="shared" si="38"/>
        <v>2728110.3650793652</v>
      </c>
      <c r="AT24" s="43">
        <f t="shared" si="38"/>
        <v>2728110.3650793652</v>
      </c>
      <c r="AU24" s="43">
        <f t="shared" si="38"/>
        <v>2728110.3650793652</v>
      </c>
      <c r="AV24" s="43">
        <f t="shared" si="38"/>
        <v>2728110.3650793652</v>
      </c>
      <c r="AW24" s="43">
        <f t="shared" si="38"/>
        <v>2728110.3650793652</v>
      </c>
      <c r="AX24" s="43">
        <f t="shared" si="38"/>
        <v>2728110.3650793652</v>
      </c>
      <c r="AY24" s="43">
        <f t="shared" si="38"/>
        <v>2728110.3650793652</v>
      </c>
      <c r="AZ24" s="43">
        <f t="shared" si="38"/>
        <v>2728110.3650793652</v>
      </c>
      <c r="BA24" s="43">
        <f t="shared" si="38"/>
        <v>2728110.3650793652</v>
      </c>
      <c r="BB24" s="43">
        <f t="shared" si="38"/>
        <v>2728110.3650793652</v>
      </c>
      <c r="BC24" s="43">
        <f t="shared" si="38"/>
        <v>2728110.3650793652</v>
      </c>
      <c r="BD24" s="43">
        <f t="shared" si="38"/>
        <v>2728110.3650793652</v>
      </c>
      <c r="BE24" s="43">
        <f t="shared" si="38"/>
        <v>2728110.3650793652</v>
      </c>
      <c r="BF24" s="43">
        <f t="shared" si="38"/>
        <v>2728110.3650793652</v>
      </c>
      <c r="BG24" s="43">
        <f t="shared" si="38"/>
        <v>2728110.3650793652</v>
      </c>
      <c r="BH24" s="43">
        <f t="shared" si="38"/>
        <v>2728110.3650793652</v>
      </c>
      <c r="BI24" s="43">
        <f t="shared" si="38"/>
        <v>2728110.3650793652</v>
      </c>
      <c r="BJ24" s="43">
        <f t="shared" si="38"/>
        <v>2728110.3650793652</v>
      </c>
      <c r="BK24" s="43">
        <f t="shared" si="38"/>
        <v>2728110.3650793652</v>
      </c>
      <c r="BL24" s="43">
        <f t="shared" si="38"/>
        <v>2728110.3650793652</v>
      </c>
      <c r="BM24" s="43">
        <f t="shared" si="38"/>
        <v>2728110.3650793652</v>
      </c>
      <c r="BN24" s="43">
        <f t="shared" si="38"/>
        <v>2728110.3650793652</v>
      </c>
      <c r="BO24" s="43">
        <f t="shared" si="38"/>
        <v>2728110.3650793652</v>
      </c>
      <c r="BP24" s="43">
        <f t="shared" ref="BP24:CU24" si="39">$C24/126</f>
        <v>2728110.3650793652</v>
      </c>
      <c r="BQ24" s="43">
        <f t="shared" si="39"/>
        <v>2728110.3650793652</v>
      </c>
      <c r="BR24" s="43">
        <f t="shared" si="39"/>
        <v>2728110.3650793652</v>
      </c>
      <c r="BS24" s="43">
        <f t="shared" si="39"/>
        <v>2728110.3650793652</v>
      </c>
      <c r="BT24" s="43">
        <f t="shared" si="39"/>
        <v>2728110.3650793652</v>
      </c>
      <c r="BU24" s="43">
        <f t="shared" si="39"/>
        <v>2728110.3650793652</v>
      </c>
      <c r="BV24" s="43">
        <f t="shared" si="39"/>
        <v>2728110.3650793652</v>
      </c>
      <c r="BW24" s="43">
        <f t="shared" si="39"/>
        <v>2728110.3650793652</v>
      </c>
      <c r="BX24" s="43">
        <f t="shared" si="39"/>
        <v>2728110.3650793652</v>
      </c>
      <c r="BY24" s="43">
        <f t="shared" si="39"/>
        <v>2728110.3650793652</v>
      </c>
      <c r="BZ24" s="43">
        <f t="shared" si="39"/>
        <v>2728110.3650793652</v>
      </c>
      <c r="CA24" s="43">
        <f t="shared" si="39"/>
        <v>2728110.3650793652</v>
      </c>
      <c r="CB24" s="43">
        <f t="shared" si="39"/>
        <v>2728110.3650793652</v>
      </c>
      <c r="CC24" s="43">
        <f t="shared" si="39"/>
        <v>2728110.3650793652</v>
      </c>
      <c r="CD24" s="43">
        <f t="shared" si="39"/>
        <v>2728110.3650793652</v>
      </c>
      <c r="CE24" s="43">
        <f t="shared" si="39"/>
        <v>2728110.3650793652</v>
      </c>
      <c r="CF24" s="43">
        <f t="shared" si="39"/>
        <v>2728110.3650793652</v>
      </c>
      <c r="CG24" s="43">
        <f t="shared" si="39"/>
        <v>2728110.3650793652</v>
      </c>
      <c r="CH24" s="43">
        <f t="shared" si="39"/>
        <v>2728110.3650793652</v>
      </c>
      <c r="CI24" s="43">
        <f t="shared" si="39"/>
        <v>2728110.3650793652</v>
      </c>
      <c r="CJ24" s="43">
        <f t="shared" si="39"/>
        <v>2728110.3650793652</v>
      </c>
      <c r="CK24" s="43">
        <f t="shared" si="39"/>
        <v>2728110.3650793652</v>
      </c>
      <c r="CL24" s="43">
        <f t="shared" si="39"/>
        <v>2728110.3650793652</v>
      </c>
      <c r="CM24" s="43">
        <f t="shared" si="39"/>
        <v>2728110.3650793652</v>
      </c>
      <c r="CN24" s="43">
        <f t="shared" si="39"/>
        <v>2728110.3650793652</v>
      </c>
      <c r="CO24" s="43">
        <f t="shared" si="39"/>
        <v>2728110.3650793652</v>
      </c>
      <c r="CP24" s="43">
        <f t="shared" si="39"/>
        <v>2728110.3650793652</v>
      </c>
      <c r="CQ24" s="43">
        <f t="shared" si="39"/>
        <v>2728110.3650793652</v>
      </c>
      <c r="CR24" s="43">
        <f t="shared" si="39"/>
        <v>2728110.3650793652</v>
      </c>
      <c r="CS24" s="43">
        <f t="shared" si="39"/>
        <v>2728110.3650793652</v>
      </c>
      <c r="CT24" s="43">
        <f t="shared" si="39"/>
        <v>2728110.3650793652</v>
      </c>
      <c r="CU24" s="43">
        <f t="shared" si="39"/>
        <v>2728110.3650793652</v>
      </c>
      <c r="CV24" s="43">
        <f t="shared" ref="CV24:DY24" si="40">$C24/126</f>
        <v>2728110.3650793652</v>
      </c>
      <c r="CW24" s="43">
        <f t="shared" si="40"/>
        <v>2728110.3650793652</v>
      </c>
      <c r="CX24" s="43">
        <f t="shared" si="40"/>
        <v>2728110.3650793652</v>
      </c>
      <c r="CY24" s="43">
        <f t="shared" si="40"/>
        <v>2728110.3650793652</v>
      </c>
      <c r="CZ24" s="43">
        <f t="shared" si="40"/>
        <v>2728110.3650793652</v>
      </c>
      <c r="DA24" s="43">
        <f t="shared" si="40"/>
        <v>2728110.3650793652</v>
      </c>
      <c r="DB24" s="43">
        <f t="shared" si="40"/>
        <v>2728110.3650793652</v>
      </c>
      <c r="DC24" s="43">
        <f t="shared" si="40"/>
        <v>2728110.3650793652</v>
      </c>
      <c r="DD24" s="43">
        <f t="shared" si="40"/>
        <v>2728110.3650793652</v>
      </c>
      <c r="DE24" s="43">
        <f t="shared" si="40"/>
        <v>2728110.3650793652</v>
      </c>
      <c r="DF24" s="43">
        <f t="shared" si="40"/>
        <v>2728110.3650793652</v>
      </c>
      <c r="DG24" s="43">
        <f t="shared" si="40"/>
        <v>2728110.3650793652</v>
      </c>
      <c r="DH24" s="43">
        <f t="shared" si="40"/>
        <v>2728110.3650793652</v>
      </c>
      <c r="DI24" s="43">
        <f t="shared" si="40"/>
        <v>2728110.3650793652</v>
      </c>
      <c r="DJ24" s="43">
        <f t="shared" si="40"/>
        <v>2728110.3650793652</v>
      </c>
      <c r="DK24" s="43">
        <f t="shared" si="40"/>
        <v>2728110.3650793652</v>
      </c>
      <c r="DL24" s="43">
        <f t="shared" si="40"/>
        <v>2728110.3650793652</v>
      </c>
      <c r="DM24" s="43">
        <f t="shared" si="40"/>
        <v>2728110.3650793652</v>
      </c>
      <c r="DN24" s="43">
        <f t="shared" si="40"/>
        <v>2728110.3650793652</v>
      </c>
      <c r="DO24" s="43">
        <f t="shared" si="40"/>
        <v>2728110.3650793652</v>
      </c>
      <c r="DP24" s="43">
        <f t="shared" si="40"/>
        <v>2728110.3650793652</v>
      </c>
      <c r="DQ24" s="43">
        <f t="shared" si="40"/>
        <v>2728110.3650793652</v>
      </c>
      <c r="DR24" s="43">
        <f t="shared" si="40"/>
        <v>2728110.3650793652</v>
      </c>
      <c r="DS24" s="43">
        <f t="shared" si="40"/>
        <v>2728110.3650793652</v>
      </c>
      <c r="DT24" s="43">
        <f t="shared" si="40"/>
        <v>2728110.3650793652</v>
      </c>
      <c r="DU24" s="43">
        <f t="shared" si="40"/>
        <v>2728110.3650793652</v>
      </c>
      <c r="DV24" s="43">
        <f t="shared" si="40"/>
        <v>2728110.3650793652</v>
      </c>
      <c r="DW24" s="43">
        <f t="shared" si="40"/>
        <v>2728110.3650793652</v>
      </c>
      <c r="DX24" s="43">
        <f t="shared" si="40"/>
        <v>2728110.3650793652</v>
      </c>
      <c r="DY24" s="43">
        <f t="shared" si="40"/>
        <v>2728110.3650793652</v>
      </c>
      <c r="DZ24" s="43">
        <f>SUM(D24:DY24)</f>
        <v>343741905.99999964</v>
      </c>
      <c r="EA24" s="34" t="str">
        <f>IF(ROUND(DZ24,0)=ROUND(C24,0),"OK","불일치")</f>
        <v>OK</v>
      </c>
    </row>
    <row r="25" spans="1:131">
      <c r="B25" s="29" t="s">
        <v>375</v>
      </c>
      <c r="D25" s="43">
        <f t="shared" ref="D25:AI25" si="41">SUM(D22:D24)</f>
        <v>91171595.543198481</v>
      </c>
      <c r="E25" s="43">
        <f t="shared" si="41"/>
        <v>2811440.5431984854</v>
      </c>
      <c r="F25" s="43">
        <f t="shared" si="41"/>
        <v>2811440.5431984854</v>
      </c>
      <c r="G25" s="43">
        <f t="shared" si="41"/>
        <v>2811440.5431984854</v>
      </c>
      <c r="H25" s="43">
        <f t="shared" si="41"/>
        <v>2811440.5431984854</v>
      </c>
      <c r="I25" s="43">
        <f t="shared" si="41"/>
        <v>2811440.5431984854</v>
      </c>
      <c r="J25" s="43">
        <f t="shared" si="41"/>
        <v>2811440.5431984854</v>
      </c>
      <c r="K25" s="43">
        <f t="shared" si="41"/>
        <v>2811440.5431984854</v>
      </c>
      <c r="L25" s="43">
        <f t="shared" si="41"/>
        <v>2811440.5431984854</v>
      </c>
      <c r="M25" s="43">
        <f t="shared" si="41"/>
        <v>2811440.5431984854</v>
      </c>
      <c r="N25" s="43">
        <f t="shared" si="41"/>
        <v>2811440.5431984854</v>
      </c>
      <c r="O25" s="43">
        <f t="shared" si="41"/>
        <v>2811440.5431984854</v>
      </c>
      <c r="P25" s="43">
        <f t="shared" si="41"/>
        <v>2811440.5431984854</v>
      </c>
      <c r="Q25" s="43">
        <f t="shared" si="41"/>
        <v>2811440.5431984854</v>
      </c>
      <c r="R25" s="43">
        <f t="shared" si="41"/>
        <v>2811440.5431984854</v>
      </c>
      <c r="S25" s="43">
        <f t="shared" si="41"/>
        <v>2811440.5431984854</v>
      </c>
      <c r="T25" s="43">
        <f t="shared" si="41"/>
        <v>2811440.5431984854</v>
      </c>
      <c r="U25" s="43">
        <f t="shared" si="41"/>
        <v>2811440.5431984854</v>
      </c>
      <c r="V25" s="43">
        <f t="shared" si="41"/>
        <v>2811440.5431984854</v>
      </c>
      <c r="W25" s="43">
        <f t="shared" si="41"/>
        <v>3311444.3393584853</v>
      </c>
      <c r="X25" s="43">
        <f t="shared" si="41"/>
        <v>2811440.5431984854</v>
      </c>
      <c r="Y25" s="43">
        <f t="shared" si="41"/>
        <v>2811440.5431984854</v>
      </c>
      <c r="Z25" s="43">
        <f t="shared" si="41"/>
        <v>2811440.5431984854</v>
      </c>
      <c r="AA25" s="43">
        <f t="shared" si="41"/>
        <v>2811440.5431984854</v>
      </c>
      <c r="AB25" s="43">
        <f t="shared" si="41"/>
        <v>2965293.9840214453</v>
      </c>
      <c r="AC25" s="43">
        <f t="shared" si="41"/>
        <v>2965293.9840214453</v>
      </c>
      <c r="AD25" s="43">
        <f t="shared" si="41"/>
        <v>2965293.9840214453</v>
      </c>
      <c r="AE25" s="43">
        <f t="shared" si="41"/>
        <v>2965293.9840214453</v>
      </c>
      <c r="AF25" s="43">
        <f t="shared" si="41"/>
        <v>2965293.9840214453</v>
      </c>
      <c r="AG25" s="43">
        <f t="shared" si="41"/>
        <v>2965293.9840214453</v>
      </c>
      <c r="AH25" s="43">
        <f t="shared" si="41"/>
        <v>2965293.9840214453</v>
      </c>
      <c r="AI25" s="43">
        <f t="shared" si="41"/>
        <v>2965293.9840214453</v>
      </c>
      <c r="AJ25" s="43">
        <f t="shared" ref="AJ25:BO25" si="42">SUM(AJ22:AJ24)</f>
        <v>2965293.9840214453</v>
      </c>
      <c r="AK25" s="43">
        <f t="shared" si="42"/>
        <v>2965293.9840214453</v>
      </c>
      <c r="AL25" s="43">
        <f t="shared" si="42"/>
        <v>2965293.9840214453</v>
      </c>
      <c r="AM25" s="43">
        <f t="shared" si="42"/>
        <v>2965293.9840214453</v>
      </c>
      <c r="AN25" s="43">
        <f t="shared" si="42"/>
        <v>2881952.442179685</v>
      </c>
      <c r="AO25" s="43">
        <f t="shared" si="42"/>
        <v>3317251.201627525</v>
      </c>
      <c r="AP25" s="43">
        <f t="shared" si="42"/>
        <v>3317251.201627525</v>
      </c>
      <c r="AQ25" s="43">
        <f t="shared" si="42"/>
        <v>3317251.201627525</v>
      </c>
      <c r="AR25" s="43">
        <f t="shared" si="42"/>
        <v>3317251.201627525</v>
      </c>
      <c r="AS25" s="43">
        <f t="shared" si="42"/>
        <v>3317251.201627525</v>
      </c>
      <c r="AT25" s="43">
        <f t="shared" si="42"/>
        <v>3317251.201627525</v>
      </c>
      <c r="AU25" s="43">
        <f t="shared" si="42"/>
        <v>3317251.201627525</v>
      </c>
      <c r="AV25" s="43">
        <f t="shared" si="42"/>
        <v>3317251.201627525</v>
      </c>
      <c r="AW25" s="43">
        <f t="shared" si="42"/>
        <v>3317251.201627525</v>
      </c>
      <c r="AX25" s="43">
        <f t="shared" si="42"/>
        <v>3317251.201627525</v>
      </c>
      <c r="AY25" s="43">
        <f t="shared" si="42"/>
        <v>3317251.201627525</v>
      </c>
      <c r="AZ25" s="43">
        <f t="shared" si="42"/>
        <v>3317251.201627525</v>
      </c>
      <c r="BA25" s="43">
        <f t="shared" si="42"/>
        <v>3317251.201627525</v>
      </c>
      <c r="BB25" s="43">
        <f t="shared" si="42"/>
        <v>3163409.1245272052</v>
      </c>
      <c r="BC25" s="43">
        <f t="shared" si="42"/>
        <v>3163409.1245272052</v>
      </c>
      <c r="BD25" s="43">
        <f t="shared" si="42"/>
        <v>3163409.1245272052</v>
      </c>
      <c r="BE25" s="43">
        <f t="shared" si="42"/>
        <v>3163409.1245272052</v>
      </c>
      <c r="BF25" s="43">
        <f t="shared" si="42"/>
        <v>2728110.3650793652</v>
      </c>
      <c r="BG25" s="43">
        <f t="shared" si="42"/>
        <v>2728110.3650793652</v>
      </c>
      <c r="BH25" s="43">
        <f t="shared" si="42"/>
        <v>2728110.3650793652</v>
      </c>
      <c r="BI25" s="43">
        <f t="shared" si="42"/>
        <v>2728110.3650793652</v>
      </c>
      <c r="BJ25" s="43">
        <f t="shared" si="42"/>
        <v>2728110.3650793652</v>
      </c>
      <c r="BK25" s="43">
        <f t="shared" si="42"/>
        <v>2728110.3650793652</v>
      </c>
      <c r="BL25" s="43">
        <f t="shared" si="42"/>
        <v>2728110.3650793652</v>
      </c>
      <c r="BM25" s="43">
        <f t="shared" si="42"/>
        <v>2728110.3650793652</v>
      </c>
      <c r="BN25" s="43">
        <f t="shared" si="42"/>
        <v>2728110.3650793652</v>
      </c>
      <c r="BO25" s="43">
        <f t="shared" si="42"/>
        <v>2728110.3650793652</v>
      </c>
      <c r="BP25" s="43">
        <f t="shared" ref="BP25:CU25" si="43">SUM(BP22:BP24)</f>
        <v>2728110.3650793652</v>
      </c>
      <c r="BQ25" s="43">
        <f t="shared" si="43"/>
        <v>2728110.3650793652</v>
      </c>
      <c r="BR25" s="43">
        <f t="shared" si="43"/>
        <v>4629454.3460362451</v>
      </c>
      <c r="BS25" s="43">
        <f t="shared" si="43"/>
        <v>4629454.3460362451</v>
      </c>
      <c r="BT25" s="43">
        <f t="shared" si="43"/>
        <v>4629454.3460362451</v>
      </c>
      <c r="BU25" s="43">
        <f t="shared" si="43"/>
        <v>4629454.3460362451</v>
      </c>
      <c r="BV25" s="43">
        <f t="shared" si="43"/>
        <v>4629454.3460362451</v>
      </c>
      <c r="BW25" s="43">
        <f t="shared" si="43"/>
        <v>4629454.3460362451</v>
      </c>
      <c r="BX25" s="43">
        <f t="shared" si="43"/>
        <v>4629454.3460362451</v>
      </c>
      <c r="BY25" s="43">
        <f t="shared" si="43"/>
        <v>4629454.3460362451</v>
      </c>
      <c r="BZ25" s="43">
        <f t="shared" si="43"/>
        <v>4629454.3460362451</v>
      </c>
      <c r="CA25" s="43">
        <f t="shared" si="43"/>
        <v>4629454.3460362451</v>
      </c>
      <c r="CB25" s="43">
        <f t="shared" si="43"/>
        <v>4629454.3460362451</v>
      </c>
      <c r="CC25" s="43">
        <f t="shared" si="43"/>
        <v>4629454.3460362451</v>
      </c>
      <c r="CD25" s="43">
        <f t="shared" si="43"/>
        <v>4629454.3460362451</v>
      </c>
      <c r="CE25" s="43">
        <f t="shared" si="43"/>
        <v>4629454.3460362451</v>
      </c>
      <c r="CF25" s="43">
        <f t="shared" si="43"/>
        <v>4629454.3460362451</v>
      </c>
      <c r="CG25" s="43">
        <f t="shared" si="43"/>
        <v>4629454.3460362451</v>
      </c>
      <c r="CH25" s="43">
        <f t="shared" si="43"/>
        <v>4629454.3460362451</v>
      </c>
      <c r="CI25" s="43">
        <f t="shared" si="43"/>
        <v>4629454.3460362451</v>
      </c>
      <c r="CJ25" s="43">
        <f t="shared" si="43"/>
        <v>10128280.185473764</v>
      </c>
      <c r="CK25" s="43">
        <f t="shared" si="43"/>
        <v>15627106.024911286</v>
      </c>
      <c r="CL25" s="43">
        <f t="shared" si="43"/>
        <v>21125920.500626169</v>
      </c>
      <c r="CM25" s="43">
        <f t="shared" si="43"/>
        <v>26624746.340063684</v>
      </c>
      <c r="CN25" s="43">
        <f t="shared" si="43"/>
        <v>32123560.815778565</v>
      </c>
      <c r="CO25" s="43">
        <f t="shared" si="43"/>
        <v>37622386.65521609</v>
      </c>
      <c r="CP25" s="43">
        <f t="shared" si="43"/>
        <v>41425415.528809048</v>
      </c>
      <c r="CQ25" s="43">
        <f t="shared" si="43"/>
        <v>46924241.368246563</v>
      </c>
      <c r="CR25" s="43">
        <f t="shared" si="43"/>
        <v>46924241.368246563</v>
      </c>
      <c r="CS25" s="43">
        <f t="shared" si="43"/>
        <v>46924241.368246563</v>
      </c>
      <c r="CT25" s="43">
        <f t="shared" si="43"/>
        <v>46924241.368246563</v>
      </c>
      <c r="CU25" s="43">
        <f t="shared" si="43"/>
        <v>46924241.368246563</v>
      </c>
      <c r="CV25" s="43">
        <f t="shared" ref="CV25:EA25" si="44">SUM(CV22:CV24)</f>
        <v>46924241.368246563</v>
      </c>
      <c r="CW25" s="43">
        <f t="shared" si="44"/>
        <v>46924241.368246563</v>
      </c>
      <c r="CX25" s="43">
        <f t="shared" si="44"/>
        <v>46924241.368246563</v>
      </c>
      <c r="CY25" s="43">
        <f t="shared" si="44"/>
        <v>46924241.368246563</v>
      </c>
      <c r="CZ25" s="43">
        <f t="shared" si="44"/>
        <v>46924241.368246563</v>
      </c>
      <c r="DA25" s="43">
        <f t="shared" si="44"/>
        <v>46924241.368246563</v>
      </c>
      <c r="DB25" s="43">
        <f t="shared" si="44"/>
        <v>46924241.368246563</v>
      </c>
      <c r="DC25" s="43">
        <f t="shared" si="44"/>
        <v>46924241.368246563</v>
      </c>
      <c r="DD25" s="43">
        <f t="shared" si="44"/>
        <v>46924241.368246563</v>
      </c>
      <c r="DE25" s="43">
        <f t="shared" si="44"/>
        <v>41425415.528809048</v>
      </c>
      <c r="DF25" s="43">
        <f t="shared" si="44"/>
        <v>35926589.689371526</v>
      </c>
      <c r="DG25" s="43">
        <f t="shared" si="44"/>
        <v>30427775.213656645</v>
      </c>
      <c r="DH25" s="43">
        <f t="shared" si="44"/>
        <v>30427775.213656645</v>
      </c>
      <c r="DI25" s="43">
        <f t="shared" si="44"/>
        <v>25738046.426187128</v>
      </c>
      <c r="DJ25" s="43">
        <f t="shared" si="44"/>
        <v>25738046.426187128</v>
      </c>
      <c r="DK25" s="43">
        <f t="shared" si="44"/>
        <v>20239220.586749606</v>
      </c>
      <c r="DL25" s="43">
        <f t="shared" si="44"/>
        <v>20239220.586749606</v>
      </c>
      <c r="DM25" s="43">
        <f t="shared" si="44"/>
        <v>14740394.747312086</v>
      </c>
      <c r="DN25" s="43">
        <f t="shared" si="44"/>
        <v>14740394.747312086</v>
      </c>
      <c r="DO25" s="43">
        <f t="shared" si="44"/>
        <v>14740394.747312086</v>
      </c>
      <c r="DP25" s="43">
        <f t="shared" si="44"/>
        <v>9241580.2715972047</v>
      </c>
      <c r="DQ25" s="43">
        <f t="shared" si="44"/>
        <v>9241580.2715972047</v>
      </c>
      <c r="DR25" s="43">
        <f t="shared" si="44"/>
        <v>9241580.2715972047</v>
      </c>
      <c r="DS25" s="43">
        <f t="shared" si="44"/>
        <v>41735213.335420728</v>
      </c>
      <c r="DT25" s="43">
        <f t="shared" si="44"/>
        <v>2728110.3650793652</v>
      </c>
      <c r="DU25" s="43">
        <f t="shared" si="44"/>
        <v>2728110.3650793652</v>
      </c>
      <c r="DV25" s="43">
        <f t="shared" si="44"/>
        <v>2728110.3650793652</v>
      </c>
      <c r="DW25" s="43">
        <f t="shared" si="44"/>
        <v>2728110.3650793652</v>
      </c>
      <c r="DX25" s="43">
        <f t="shared" si="44"/>
        <v>2728110.3650793652</v>
      </c>
      <c r="DY25" s="43">
        <f t="shared" si="44"/>
        <v>2728133.0925246454</v>
      </c>
    </row>
    <row r="27" spans="1:131">
      <c r="A27" s="29" t="s">
        <v>376</v>
      </c>
    </row>
    <row r="28" spans="1:131">
      <c r="B28" s="34" t="s">
        <v>377</v>
      </c>
      <c r="D28" s="43">
        <f>0</f>
        <v>0</v>
      </c>
      <c r="E28" s="43">
        <f t="shared" ref="E28:AJ28" si="45">D32</f>
        <v>0</v>
      </c>
      <c r="F28" s="43">
        <f t="shared" si="45"/>
        <v>0</v>
      </c>
      <c r="G28" s="43">
        <f t="shared" si="45"/>
        <v>0</v>
      </c>
      <c r="H28" s="43">
        <f t="shared" si="45"/>
        <v>0</v>
      </c>
      <c r="I28" s="43">
        <f t="shared" si="45"/>
        <v>0</v>
      </c>
      <c r="J28" s="43">
        <f t="shared" si="45"/>
        <v>0</v>
      </c>
      <c r="K28" s="43">
        <f t="shared" si="45"/>
        <v>0</v>
      </c>
      <c r="L28" s="43">
        <f t="shared" si="45"/>
        <v>0</v>
      </c>
      <c r="M28" s="43">
        <f t="shared" si="45"/>
        <v>0</v>
      </c>
      <c r="N28" s="43">
        <f t="shared" si="45"/>
        <v>0</v>
      </c>
      <c r="O28" s="43">
        <f t="shared" si="45"/>
        <v>0</v>
      </c>
      <c r="P28" s="43">
        <f t="shared" si="45"/>
        <v>0</v>
      </c>
      <c r="Q28" s="43">
        <f t="shared" si="45"/>
        <v>0</v>
      </c>
      <c r="R28" s="43">
        <f t="shared" si="45"/>
        <v>0</v>
      </c>
      <c r="S28" s="43">
        <f t="shared" si="45"/>
        <v>0</v>
      </c>
      <c r="T28" s="43">
        <f t="shared" si="45"/>
        <v>0</v>
      </c>
      <c r="U28" s="43">
        <f t="shared" si="45"/>
        <v>0</v>
      </c>
      <c r="V28" s="43">
        <f t="shared" si="45"/>
        <v>0</v>
      </c>
      <c r="W28" s="43">
        <f t="shared" si="45"/>
        <v>0</v>
      </c>
      <c r="X28" s="43">
        <f t="shared" si="45"/>
        <v>0</v>
      </c>
      <c r="Y28" s="43">
        <f t="shared" si="45"/>
        <v>0</v>
      </c>
      <c r="Z28" s="43">
        <f t="shared" si="45"/>
        <v>0</v>
      </c>
      <c r="AA28" s="43">
        <f t="shared" si="45"/>
        <v>0</v>
      </c>
      <c r="AB28" s="43">
        <f t="shared" si="45"/>
        <v>0</v>
      </c>
      <c r="AC28" s="43">
        <f t="shared" si="45"/>
        <v>0</v>
      </c>
      <c r="AD28" s="43">
        <f t="shared" si="45"/>
        <v>0</v>
      </c>
      <c r="AE28" s="43">
        <f t="shared" si="45"/>
        <v>0</v>
      </c>
      <c r="AF28" s="43">
        <f t="shared" si="45"/>
        <v>0</v>
      </c>
      <c r="AG28" s="43">
        <f t="shared" si="45"/>
        <v>0</v>
      </c>
      <c r="AH28" s="43">
        <f t="shared" si="45"/>
        <v>0</v>
      </c>
      <c r="AI28" s="43">
        <f t="shared" si="45"/>
        <v>0</v>
      </c>
      <c r="AJ28" s="43">
        <f t="shared" si="45"/>
        <v>0</v>
      </c>
      <c r="AK28" s="43">
        <f t="shared" ref="AK28:BP28" si="46">AJ32</f>
        <v>0</v>
      </c>
      <c r="AL28" s="43">
        <f t="shared" si="46"/>
        <v>0</v>
      </c>
      <c r="AM28" s="43">
        <f t="shared" si="46"/>
        <v>0</v>
      </c>
      <c r="AN28" s="43">
        <f t="shared" si="46"/>
        <v>0</v>
      </c>
      <c r="AO28" s="43">
        <f t="shared" si="46"/>
        <v>0</v>
      </c>
      <c r="AP28" s="43">
        <f t="shared" si="46"/>
        <v>0</v>
      </c>
      <c r="AQ28" s="43">
        <f t="shared" si="46"/>
        <v>0</v>
      </c>
      <c r="AR28" s="43">
        <f t="shared" si="46"/>
        <v>0</v>
      </c>
      <c r="AS28" s="43">
        <f t="shared" si="46"/>
        <v>0</v>
      </c>
      <c r="AT28" s="43">
        <f t="shared" si="46"/>
        <v>0</v>
      </c>
      <c r="AU28" s="43">
        <f t="shared" si="46"/>
        <v>0</v>
      </c>
      <c r="AV28" s="43">
        <f t="shared" si="46"/>
        <v>0</v>
      </c>
      <c r="AW28" s="43">
        <f t="shared" si="46"/>
        <v>0</v>
      </c>
      <c r="AX28" s="43">
        <f t="shared" si="46"/>
        <v>0</v>
      </c>
      <c r="AY28" s="43">
        <f t="shared" si="46"/>
        <v>0</v>
      </c>
      <c r="AZ28" s="43">
        <f t="shared" si="46"/>
        <v>0</v>
      </c>
      <c r="BA28" s="43">
        <f t="shared" si="46"/>
        <v>0</v>
      </c>
      <c r="BB28" s="43">
        <f t="shared" si="46"/>
        <v>0</v>
      </c>
      <c r="BC28" s="43">
        <f t="shared" si="46"/>
        <v>0</v>
      </c>
      <c r="BD28" s="43">
        <f t="shared" si="46"/>
        <v>0</v>
      </c>
      <c r="BE28" s="43">
        <f t="shared" si="46"/>
        <v>0</v>
      </c>
      <c r="BF28" s="43">
        <f t="shared" si="46"/>
        <v>0</v>
      </c>
      <c r="BG28" s="43">
        <f t="shared" si="46"/>
        <v>0</v>
      </c>
      <c r="BH28" s="43">
        <f t="shared" si="46"/>
        <v>0</v>
      </c>
      <c r="BI28" s="43">
        <f t="shared" si="46"/>
        <v>0</v>
      </c>
      <c r="BJ28" s="43">
        <f t="shared" si="46"/>
        <v>0</v>
      </c>
      <c r="BK28" s="43">
        <f t="shared" si="46"/>
        <v>0</v>
      </c>
      <c r="BL28" s="43">
        <f t="shared" si="46"/>
        <v>0</v>
      </c>
      <c r="BM28" s="43">
        <f t="shared" si="46"/>
        <v>0</v>
      </c>
      <c r="BN28" s="43">
        <f t="shared" si="46"/>
        <v>0</v>
      </c>
      <c r="BO28" s="43">
        <f t="shared" si="46"/>
        <v>0</v>
      </c>
      <c r="BP28" s="43">
        <f t="shared" si="46"/>
        <v>0</v>
      </c>
      <c r="BQ28" s="43">
        <f t="shared" ref="BQ28:CV28" si="47">BP32</f>
        <v>0</v>
      </c>
      <c r="BR28" s="43">
        <f t="shared" si="47"/>
        <v>0</v>
      </c>
      <c r="BS28" s="43">
        <f t="shared" si="47"/>
        <v>0</v>
      </c>
      <c r="BT28" s="43">
        <f t="shared" si="47"/>
        <v>0</v>
      </c>
      <c r="BU28" s="43">
        <f t="shared" si="47"/>
        <v>0</v>
      </c>
      <c r="BV28" s="43">
        <f t="shared" si="47"/>
        <v>0</v>
      </c>
      <c r="BW28" s="43">
        <f t="shared" si="47"/>
        <v>0</v>
      </c>
      <c r="BX28" s="43">
        <f t="shared" si="47"/>
        <v>0</v>
      </c>
      <c r="BY28" s="43">
        <f t="shared" si="47"/>
        <v>0</v>
      </c>
      <c r="BZ28" s="43">
        <f t="shared" si="47"/>
        <v>0</v>
      </c>
      <c r="CA28" s="43">
        <f t="shared" si="47"/>
        <v>0</v>
      </c>
      <c r="CB28" s="43">
        <f t="shared" si="47"/>
        <v>0</v>
      </c>
      <c r="CC28" s="43">
        <f t="shared" si="47"/>
        <v>0</v>
      </c>
      <c r="CD28" s="43">
        <f t="shared" si="47"/>
        <v>0</v>
      </c>
      <c r="CE28" s="43">
        <f t="shared" si="47"/>
        <v>0</v>
      </c>
      <c r="CF28" s="43">
        <f t="shared" si="47"/>
        <v>2027799.4280873565</v>
      </c>
      <c r="CG28" s="43">
        <f t="shared" si="47"/>
        <v>6671363.878477376</v>
      </c>
      <c r="CH28" s="43">
        <f t="shared" si="47"/>
        <v>11347239.798168026</v>
      </c>
      <c r="CI28" s="43">
        <f t="shared" si="47"/>
        <v>16055652.02113319</v>
      </c>
      <c r="CJ28" s="43">
        <f t="shared" si="47"/>
        <v>20796826.945816487</v>
      </c>
      <c r="CK28" s="43">
        <f t="shared" si="47"/>
        <v>0</v>
      </c>
      <c r="CL28" s="43">
        <f t="shared" si="47"/>
        <v>0</v>
      </c>
      <c r="CM28" s="43">
        <f t="shared" si="47"/>
        <v>0</v>
      </c>
      <c r="CN28" s="43">
        <f t="shared" si="47"/>
        <v>0</v>
      </c>
      <c r="CO28" s="43">
        <f t="shared" si="47"/>
        <v>0</v>
      </c>
      <c r="CP28" s="43">
        <f t="shared" si="47"/>
        <v>0</v>
      </c>
      <c r="CQ28" s="43">
        <f t="shared" si="47"/>
        <v>0</v>
      </c>
      <c r="CR28" s="43">
        <f t="shared" si="47"/>
        <v>0</v>
      </c>
      <c r="CS28" s="43">
        <f t="shared" si="47"/>
        <v>0</v>
      </c>
      <c r="CT28" s="43">
        <f t="shared" si="47"/>
        <v>0</v>
      </c>
      <c r="CU28" s="43">
        <f t="shared" si="47"/>
        <v>0</v>
      </c>
      <c r="CV28" s="43">
        <f t="shared" si="47"/>
        <v>0</v>
      </c>
      <c r="CW28" s="43">
        <f t="shared" ref="CW28:DY28" si="48">CV32</f>
        <v>35626955.040553153</v>
      </c>
      <c r="CX28" s="43">
        <f t="shared" si="48"/>
        <v>72478247.217837572</v>
      </c>
      <c r="CY28" s="43">
        <f t="shared" si="48"/>
        <v>109585962.96985558</v>
      </c>
      <c r="CZ28" s="43">
        <f t="shared" si="48"/>
        <v>146951886.5773147</v>
      </c>
      <c r="DA28" s="43">
        <f t="shared" si="48"/>
        <v>184577814.7365424</v>
      </c>
      <c r="DB28" s="43">
        <f t="shared" si="48"/>
        <v>222465556.64587808</v>
      </c>
      <c r="DC28" s="43">
        <f t="shared" si="48"/>
        <v>260616934.09266618</v>
      </c>
      <c r="DD28" s="43">
        <f t="shared" si="48"/>
        <v>299033781.54085493</v>
      </c>
      <c r="DE28" s="43">
        <f t="shared" si="48"/>
        <v>337717946.21920395</v>
      </c>
      <c r="DF28" s="43">
        <f t="shared" si="48"/>
        <v>371172462.37066901</v>
      </c>
      <c r="DG28" s="43">
        <f t="shared" si="48"/>
        <v>399360940.35758376</v>
      </c>
      <c r="DH28" s="43">
        <f t="shared" si="48"/>
        <v>422246748.69477594</v>
      </c>
      <c r="DI28" s="43">
        <f t="shared" si="48"/>
        <v>442711584.95455307</v>
      </c>
      <c r="DJ28" s="43">
        <f t="shared" si="48"/>
        <v>458629093.57916826</v>
      </c>
      <c r="DK28" s="43">
        <f t="shared" si="48"/>
        <v>474657361.53462976</v>
      </c>
      <c r="DL28" s="43">
        <f t="shared" si="48"/>
        <v>487878552.84227186</v>
      </c>
      <c r="DM28" s="43">
        <f t="shared" si="48"/>
        <v>501191741.60609633</v>
      </c>
      <c r="DN28" s="43">
        <f t="shared" si="48"/>
        <v>509098742.1356315</v>
      </c>
      <c r="DO28" s="43">
        <f t="shared" si="48"/>
        <v>511900331.63030404</v>
      </c>
      <c r="DP28" s="43">
        <f t="shared" si="48"/>
        <v>514721415.51854366</v>
      </c>
      <c r="DQ28" s="43">
        <f t="shared" si="48"/>
        <v>512063314.97312409</v>
      </c>
      <c r="DR28" s="43">
        <f t="shared" si="48"/>
        <v>509386718.47807592</v>
      </c>
      <c r="DS28" s="43">
        <f t="shared" si="48"/>
        <v>506691497.33241642</v>
      </c>
      <c r="DT28" s="43">
        <f t="shared" si="48"/>
        <v>536471155.00344181</v>
      </c>
      <c r="DU28" s="43">
        <f t="shared" si="48"/>
        <v>527450926.48875344</v>
      </c>
      <c r="DV28" s="43">
        <f t="shared" si="48"/>
        <v>518367932.21731704</v>
      </c>
      <c r="DW28" s="43">
        <f t="shared" si="48"/>
        <v>509221735.44407523</v>
      </c>
      <c r="DX28" s="43">
        <f t="shared" si="48"/>
        <v>515493180.38495296</v>
      </c>
      <c r="DY28" s="43">
        <f t="shared" si="48"/>
        <v>521808264.13021094</v>
      </c>
    </row>
    <row r="29" spans="1:131">
      <c r="B29" s="34" t="s">
        <v>378</v>
      </c>
      <c r="D29" s="43">
        <f>D28*'00_입력'!$C$30/12</f>
        <v>0</v>
      </c>
      <c r="E29" s="43">
        <f>E28*'00_입력'!$C$30/12</f>
        <v>0</v>
      </c>
      <c r="F29" s="43">
        <f>F28*'00_입력'!$C$30/12</f>
        <v>0</v>
      </c>
      <c r="G29" s="43">
        <f>G28*'00_입력'!$C$30/12</f>
        <v>0</v>
      </c>
      <c r="H29" s="43">
        <f>H28*'00_입력'!$C$30/12</f>
        <v>0</v>
      </c>
      <c r="I29" s="43">
        <f>I28*'00_입력'!$C$30/12</f>
        <v>0</v>
      </c>
      <c r="J29" s="43">
        <f>J28*'00_입력'!$C$30/12</f>
        <v>0</v>
      </c>
      <c r="K29" s="43">
        <f>K28*'00_입력'!$C$30/12</f>
        <v>0</v>
      </c>
      <c r="L29" s="43">
        <f>L28*'00_입력'!$C$30/12</f>
        <v>0</v>
      </c>
      <c r="M29" s="43">
        <f>M28*'00_입력'!$C$30/12</f>
        <v>0</v>
      </c>
      <c r="N29" s="43">
        <f>N28*'00_입력'!$C$30/12</f>
        <v>0</v>
      </c>
      <c r="O29" s="43">
        <f>O28*'00_입력'!$C$30/12</f>
        <v>0</v>
      </c>
      <c r="P29" s="43">
        <f>P28*'00_입력'!$C$30/12</f>
        <v>0</v>
      </c>
      <c r="Q29" s="43">
        <f>Q28*'00_입력'!$C$30/12</f>
        <v>0</v>
      </c>
      <c r="R29" s="43">
        <f>R28*'00_입력'!$C$30/12</f>
        <v>0</v>
      </c>
      <c r="S29" s="43">
        <f>S28*'00_입력'!$C$30/12</f>
        <v>0</v>
      </c>
      <c r="T29" s="43">
        <f>T28*'00_입력'!$C$30/12</f>
        <v>0</v>
      </c>
      <c r="U29" s="43">
        <f>U28*'00_입력'!$C$30/12</f>
        <v>0</v>
      </c>
      <c r="V29" s="43">
        <f>V28*'00_입력'!$C$30/12</f>
        <v>0</v>
      </c>
      <c r="W29" s="43">
        <f>W28*'00_입력'!$C$30/12</f>
        <v>0</v>
      </c>
      <c r="X29" s="43">
        <f>X28*'00_입력'!$C$30/12</f>
        <v>0</v>
      </c>
      <c r="Y29" s="43">
        <f>Y28*'00_입력'!$C$30/12</f>
        <v>0</v>
      </c>
      <c r="Z29" s="43">
        <f>Z28*'00_입력'!$C$30/12</f>
        <v>0</v>
      </c>
      <c r="AA29" s="43">
        <f>AA28*'00_입력'!$C$30/12</f>
        <v>0</v>
      </c>
      <c r="AB29" s="43">
        <f>AB28*'00_입력'!$C$30/12</f>
        <v>0</v>
      </c>
      <c r="AC29" s="43">
        <f>AC28*'00_입력'!$C$30/12</f>
        <v>0</v>
      </c>
      <c r="AD29" s="43">
        <f>AD28*'00_입력'!$C$30/12</f>
        <v>0</v>
      </c>
      <c r="AE29" s="43">
        <f>AE28*'00_입력'!$C$30/12</f>
        <v>0</v>
      </c>
      <c r="AF29" s="43">
        <f>AF28*'00_입력'!$C$30/12</f>
        <v>0</v>
      </c>
      <c r="AG29" s="43">
        <f>AG28*'00_입력'!$C$30/12</f>
        <v>0</v>
      </c>
      <c r="AH29" s="43">
        <f>AH28*'00_입력'!$C$30/12</f>
        <v>0</v>
      </c>
      <c r="AI29" s="43">
        <f>AI28*'00_입력'!$C$30/12</f>
        <v>0</v>
      </c>
      <c r="AJ29" s="43">
        <f>AJ28*'00_입력'!$C$30/12</f>
        <v>0</v>
      </c>
      <c r="AK29" s="43">
        <f>AK28*'00_입력'!$C$30/12</f>
        <v>0</v>
      </c>
      <c r="AL29" s="43">
        <f>AL28*'00_입력'!$C$30/12</f>
        <v>0</v>
      </c>
      <c r="AM29" s="43">
        <f>AM28*'00_입력'!$C$30/12</f>
        <v>0</v>
      </c>
      <c r="AN29" s="43">
        <f>AN28*'00_입력'!$C$30/12</f>
        <v>0</v>
      </c>
      <c r="AO29" s="43">
        <f>AO28*'00_입력'!$C$30/12</f>
        <v>0</v>
      </c>
      <c r="AP29" s="43">
        <f>AP28*'00_입력'!$C$30/12</f>
        <v>0</v>
      </c>
      <c r="AQ29" s="43">
        <f>AQ28*'00_입력'!$C$30/12</f>
        <v>0</v>
      </c>
      <c r="AR29" s="43">
        <f>AR28*'00_입력'!$C$30/12</f>
        <v>0</v>
      </c>
      <c r="AS29" s="43">
        <f>AS28*'00_입력'!$C$30/12</f>
        <v>0</v>
      </c>
      <c r="AT29" s="43">
        <f>AT28*'00_입력'!$C$30/12</f>
        <v>0</v>
      </c>
      <c r="AU29" s="43">
        <f>AU28*'00_입력'!$C$30/12</f>
        <v>0</v>
      </c>
      <c r="AV29" s="43">
        <f>AV28*'00_입력'!$C$30/12</f>
        <v>0</v>
      </c>
      <c r="AW29" s="43">
        <f>AW28*'00_입력'!$C$30/12</f>
        <v>0</v>
      </c>
      <c r="AX29" s="43">
        <f>AX28*'00_입력'!$C$30/12</f>
        <v>0</v>
      </c>
      <c r="AY29" s="43">
        <f>AY28*'00_입력'!$C$30/12</f>
        <v>0</v>
      </c>
      <c r="AZ29" s="43">
        <f>AZ28*'00_입력'!$C$30/12</f>
        <v>0</v>
      </c>
      <c r="BA29" s="43">
        <f>BA28*'00_입력'!$C$30/12</f>
        <v>0</v>
      </c>
      <c r="BB29" s="43">
        <f>BB28*'00_입력'!$C$30/12</f>
        <v>0</v>
      </c>
      <c r="BC29" s="43">
        <f>BC28*'00_입력'!$C$30/12</f>
        <v>0</v>
      </c>
      <c r="BD29" s="43">
        <f>BD28*'00_입력'!$C$30/12</f>
        <v>0</v>
      </c>
      <c r="BE29" s="43">
        <f>BE28*'00_입력'!$C$30/12</f>
        <v>0</v>
      </c>
      <c r="BF29" s="43">
        <f>BF28*'00_입력'!$C$30/12</f>
        <v>0</v>
      </c>
      <c r="BG29" s="43">
        <f>BG28*'00_입력'!$C$30/12</f>
        <v>0</v>
      </c>
      <c r="BH29" s="43">
        <f>BH28*'00_입력'!$C$30/12</f>
        <v>0</v>
      </c>
      <c r="BI29" s="43">
        <f>BI28*'00_입력'!$C$30/12</f>
        <v>0</v>
      </c>
      <c r="BJ29" s="43">
        <f>BJ28*'00_입력'!$C$30/12</f>
        <v>0</v>
      </c>
      <c r="BK29" s="43">
        <f>BK28*'00_입력'!$C$30/12</f>
        <v>0</v>
      </c>
      <c r="BL29" s="43">
        <f>BL28*'00_입력'!$C$30/12</f>
        <v>0</v>
      </c>
      <c r="BM29" s="43">
        <f>BM28*'00_입력'!$C$30/12</f>
        <v>0</v>
      </c>
      <c r="BN29" s="43">
        <f>BN28*'00_입력'!$C$30/12</f>
        <v>0</v>
      </c>
      <c r="BO29" s="43">
        <f>BO28*'00_입력'!$C$30/12</f>
        <v>0</v>
      </c>
      <c r="BP29" s="43">
        <f>BP28*'00_입력'!$C$30/12</f>
        <v>0</v>
      </c>
      <c r="BQ29" s="43">
        <f>BQ28*'00_입력'!$C$30/12</f>
        <v>0</v>
      </c>
      <c r="BR29" s="43">
        <f>BR28*'00_입력'!$C$30/12</f>
        <v>0</v>
      </c>
      <c r="BS29" s="43">
        <f>BS28*'00_입력'!$C$30/12</f>
        <v>0</v>
      </c>
      <c r="BT29" s="43">
        <f>BT28*'00_입력'!$C$30/12</f>
        <v>0</v>
      </c>
      <c r="BU29" s="43">
        <f>BU28*'00_입력'!$C$30/12</f>
        <v>0</v>
      </c>
      <c r="BV29" s="43">
        <f>BV28*'00_입력'!$C$30/12</f>
        <v>0</v>
      </c>
      <c r="BW29" s="43">
        <f>BW28*'00_입력'!$C$30/12</f>
        <v>0</v>
      </c>
      <c r="BX29" s="43">
        <f>BX28*'00_입력'!$C$30/12</f>
        <v>0</v>
      </c>
      <c r="BY29" s="43">
        <f>BY28*'00_입력'!$C$30/12</f>
        <v>0</v>
      </c>
      <c r="BZ29" s="43">
        <f>BZ28*'00_입력'!$C$30/12</f>
        <v>0</v>
      </c>
      <c r="CA29" s="43">
        <f>CA28*'00_입력'!$C$30/12</f>
        <v>0</v>
      </c>
      <c r="CB29" s="43">
        <f>CB28*'00_입력'!$C$30/12</f>
        <v>0</v>
      </c>
      <c r="CC29" s="43">
        <f>CC28*'00_입력'!$C$30/12</f>
        <v>0</v>
      </c>
      <c r="CD29" s="43">
        <f>CD28*'00_입력'!$C$30/12</f>
        <v>0</v>
      </c>
      <c r="CE29" s="43">
        <f>CE28*'00_입력'!$C$30/12</f>
        <v>0</v>
      </c>
      <c r="CF29" s="43">
        <f>CF28*'00_입력'!$C$30/12</f>
        <v>14110.104353774523</v>
      </c>
      <c r="CG29" s="43">
        <f>CG28*'00_입력'!$C$30/12</f>
        <v>46421.573654405074</v>
      </c>
      <c r="CH29" s="43">
        <f>CH28*'00_입력'!$C$30/12</f>
        <v>78957.876928919184</v>
      </c>
      <c r="CI29" s="43">
        <f>CI28*'00_입력'!$C$30/12</f>
        <v>111720.57864705178</v>
      </c>
      <c r="CJ29" s="43">
        <f>CJ28*'00_입력'!$C$30/12</f>
        <v>144711.25416463971</v>
      </c>
      <c r="CK29" s="43">
        <f>CK28*'00_입력'!$C$30/12</f>
        <v>0</v>
      </c>
      <c r="CL29" s="43">
        <f>CL28*'00_입력'!$C$30/12</f>
        <v>0</v>
      </c>
      <c r="CM29" s="43">
        <f>CM28*'00_입력'!$C$30/12</f>
        <v>0</v>
      </c>
      <c r="CN29" s="43">
        <f>CN28*'00_입력'!$C$30/12</f>
        <v>0</v>
      </c>
      <c r="CO29" s="43">
        <f>CO28*'00_입력'!$C$30/12</f>
        <v>0</v>
      </c>
      <c r="CP29" s="43">
        <f>CP28*'00_입력'!$C$30/12</f>
        <v>0</v>
      </c>
      <c r="CQ29" s="43">
        <f>CQ28*'00_입력'!$C$30/12</f>
        <v>0</v>
      </c>
      <c r="CR29" s="43">
        <f>CR28*'00_입력'!$C$30/12</f>
        <v>0</v>
      </c>
      <c r="CS29" s="43">
        <f>CS28*'00_입력'!$C$30/12</f>
        <v>0</v>
      </c>
      <c r="CT29" s="43">
        <f>CT28*'00_입력'!$C$30/12</f>
        <v>0</v>
      </c>
      <c r="CU29" s="43">
        <f>CU28*'00_입력'!$C$30/12</f>
        <v>0</v>
      </c>
      <c r="CV29" s="43">
        <f>CV28*'00_입력'!$C$30/12</f>
        <v>0</v>
      </c>
      <c r="CW29" s="43">
        <f>CW28*'00_입력'!$C$30/12</f>
        <v>247904.22882384903</v>
      </c>
      <c r="CX29" s="43">
        <f>CX28*'00_입력'!$C$30/12</f>
        <v>504327.80355745315</v>
      </c>
      <c r="CY29" s="43">
        <f>CY28*'00_입력'!$C$30/12</f>
        <v>762535.65899857844</v>
      </c>
      <c r="CZ29" s="43">
        <f>CZ28*'00_입력'!$C$30/12</f>
        <v>1022540.2107671482</v>
      </c>
      <c r="DA29" s="43">
        <f>DA28*'00_입력'!$C$30/12</f>
        <v>1284353.9608751077</v>
      </c>
      <c r="DB29" s="43">
        <f>DB28*'00_입력'!$C$30/12</f>
        <v>1547989.4983275684</v>
      </c>
      <c r="DC29" s="43">
        <f>DC28*'00_입력'!$C$30/12</f>
        <v>1813459.4997281355</v>
      </c>
      <c r="DD29" s="43">
        <f>DD28*'00_입력'!$C$30/12</f>
        <v>2080776.7298884492</v>
      </c>
      <c r="DE29" s="43">
        <f>DE28*'00_입력'!$C$30/12</f>
        <v>2349954.0424419609</v>
      </c>
      <c r="DF29" s="43">
        <f>DF28*'00_입력'!$C$30/12</f>
        <v>2582741.7173292385</v>
      </c>
      <c r="DG29" s="43">
        <f>DG28*'00_입력'!$C$30/12</f>
        <v>2778886.5433215206</v>
      </c>
      <c r="DH29" s="43">
        <f>DH28*'00_입력'!$C$30/12</f>
        <v>2938133.6263344828</v>
      </c>
      <c r="DI29" s="43">
        <f>DI28*'00_입력'!$C$30/12</f>
        <v>3080534.7786420989</v>
      </c>
      <c r="DJ29" s="43">
        <f>DJ28*'00_입력'!$C$30/12</f>
        <v>3191294.1094883792</v>
      </c>
      <c r="DK29" s="43">
        <f>DK28*'00_입력'!$C$30/12</f>
        <v>3302824.1406784654</v>
      </c>
      <c r="DL29" s="43">
        <f>DL28*'00_입력'!$C$30/12</f>
        <v>3394821.5968608088</v>
      </c>
      <c r="DM29" s="43">
        <f>DM28*'00_입력'!$C$30/12</f>
        <v>3487459.2020090874</v>
      </c>
      <c r="DN29" s="43">
        <f>DN28*'00_입력'!$C$30/12</f>
        <v>3542478.7473604362</v>
      </c>
      <c r="DO29" s="43">
        <f>DO28*'00_입력'!$C$30/12</f>
        <v>3561973.1409275327</v>
      </c>
      <c r="DP29" s="43">
        <f>DP28*'00_입력'!$C$30/12</f>
        <v>3581603.1829831996</v>
      </c>
      <c r="DQ29" s="43">
        <f>DQ28*'00_입력'!$C$30/12</f>
        <v>3563107.2333546556</v>
      </c>
      <c r="DR29" s="43">
        <f>DR28*'00_입력'!$C$30/12</f>
        <v>3544482.5827432782</v>
      </c>
      <c r="DS29" s="43">
        <f>DS28*'00_입력'!$C$30/12</f>
        <v>3525728.335604731</v>
      </c>
      <c r="DT29" s="43">
        <f>DT28*'00_입력'!$C$30/12</f>
        <v>3732945.1202322827</v>
      </c>
      <c r="DU29" s="43">
        <f>DU28*'00_입력'!$C$30/12</f>
        <v>3670179.3634842429</v>
      </c>
      <c r="DV29" s="43">
        <f>DV28*'00_입력'!$C$30/12</f>
        <v>3606976.8616788313</v>
      </c>
      <c r="DW29" s="43">
        <f>DW28*'00_입력'!$C$30/12</f>
        <v>3543334.5757983569</v>
      </c>
      <c r="DX29" s="43">
        <f>DX28*'00_입력'!$C$30/12</f>
        <v>3586973.3801786308</v>
      </c>
      <c r="DY29" s="43">
        <f>DY28*'00_입력'!$C$30/12</f>
        <v>3630915.8379060514</v>
      </c>
      <c r="DZ29" s="43">
        <f>SUM(D29:DY29)</f>
        <v>79857157.098073348</v>
      </c>
    </row>
    <row r="30" spans="1:131">
      <c r="B30" s="34" t="s">
        <v>379</v>
      </c>
      <c r="D30" s="43">
        <f>MIN(D28,D19*'00_입력'!$C$42)</f>
        <v>0</v>
      </c>
      <c r="E30" s="43">
        <f>MIN(E28,E19*'00_입력'!$C$42)</f>
        <v>0</v>
      </c>
      <c r="F30" s="43">
        <f>MIN(F28,F19*'00_입력'!$C$42)</f>
        <v>0</v>
      </c>
      <c r="G30" s="43">
        <f>MIN(G28,G19*'00_입력'!$C$42)</f>
        <v>0</v>
      </c>
      <c r="H30" s="43">
        <f>MIN(H28,H19*'00_입력'!$C$42)</f>
        <v>0</v>
      </c>
      <c r="I30" s="43">
        <f>MIN(I28,I19*'00_입력'!$C$42)</f>
        <v>0</v>
      </c>
      <c r="J30" s="43">
        <f>MIN(J28,J19*'00_입력'!$C$42)</f>
        <v>0</v>
      </c>
      <c r="K30" s="43">
        <f>MIN(K28,K19*'00_입력'!$C$42)</f>
        <v>0</v>
      </c>
      <c r="L30" s="43">
        <f>MIN(L28,L19*'00_입력'!$C$42)</f>
        <v>0</v>
      </c>
      <c r="M30" s="43">
        <f>MIN(M28,M19*'00_입력'!$C$42)</f>
        <v>0</v>
      </c>
      <c r="N30" s="43">
        <f>MIN(N28,N19*'00_입력'!$C$42)</f>
        <v>0</v>
      </c>
      <c r="O30" s="43">
        <f>MIN(O28,O19*'00_입력'!$C$42)</f>
        <v>0</v>
      </c>
      <c r="P30" s="43">
        <f>MIN(P28,P19*'00_입력'!$C$42)</f>
        <v>0</v>
      </c>
      <c r="Q30" s="43">
        <f>MIN(Q28,Q19*'00_입력'!$C$42)</f>
        <v>0</v>
      </c>
      <c r="R30" s="43">
        <f>MIN(R28,R19*'00_입력'!$C$42)</f>
        <v>0</v>
      </c>
      <c r="S30" s="43">
        <f>MIN(S28,S19*'00_입력'!$C$42)</f>
        <v>0</v>
      </c>
      <c r="T30" s="43">
        <f>MIN(T28,T19*'00_입력'!$C$42)</f>
        <v>0</v>
      </c>
      <c r="U30" s="43">
        <f>MIN(U28,U19*'00_입력'!$C$42)</f>
        <v>0</v>
      </c>
      <c r="V30" s="43">
        <f>MIN(V28,V19*'00_입력'!$C$42)</f>
        <v>0</v>
      </c>
      <c r="W30" s="43">
        <f>MIN(W28,W19*'00_입력'!$C$42)</f>
        <v>0</v>
      </c>
      <c r="X30" s="43">
        <f>MIN(X28,X19*'00_입력'!$C$42)</f>
        <v>0</v>
      </c>
      <c r="Y30" s="43">
        <f>MIN(Y28,Y19*'00_입력'!$C$42)</f>
        <v>0</v>
      </c>
      <c r="Z30" s="43">
        <f>MIN(Z28,Z19*'00_입력'!$C$42)</f>
        <v>0</v>
      </c>
      <c r="AA30" s="43">
        <f>MIN(AA28,AA19*'00_입력'!$C$42)</f>
        <v>0</v>
      </c>
      <c r="AB30" s="43">
        <f>MIN(AB28,AB19*'00_입력'!$C$42)</f>
        <v>0</v>
      </c>
      <c r="AC30" s="43">
        <f>MIN(AC28,AC19*'00_입력'!$C$42)</f>
        <v>0</v>
      </c>
      <c r="AD30" s="43">
        <f>MIN(AD28,AD19*'00_입력'!$C$42)</f>
        <v>0</v>
      </c>
      <c r="AE30" s="43">
        <f>MIN(AE28,AE19*'00_입력'!$C$42)</f>
        <v>0</v>
      </c>
      <c r="AF30" s="43">
        <f>MIN(AF28,AF19*'00_입력'!$C$42)</f>
        <v>0</v>
      </c>
      <c r="AG30" s="43">
        <f>MIN(AG28,AG19*'00_입력'!$C$42)</f>
        <v>0</v>
      </c>
      <c r="AH30" s="43">
        <f>MIN(AH28,AH19*'00_입력'!$C$42)</f>
        <v>0</v>
      </c>
      <c r="AI30" s="43">
        <f>MIN(AI28,AI19*'00_입력'!$C$42)</f>
        <v>0</v>
      </c>
      <c r="AJ30" s="43">
        <f>MIN(AJ28,AJ19*'00_입력'!$C$42)</f>
        <v>0</v>
      </c>
      <c r="AK30" s="43">
        <f>MIN(AK28,AK19*'00_입력'!$C$42)</f>
        <v>0</v>
      </c>
      <c r="AL30" s="43">
        <f>MIN(AL28,AL19*'00_입력'!$C$42)</f>
        <v>0</v>
      </c>
      <c r="AM30" s="43">
        <f>MIN(AM28,AM19*'00_입력'!$C$42)</f>
        <v>0</v>
      </c>
      <c r="AN30" s="43">
        <f>MIN(AN28,AN19*'00_입력'!$C$42)</f>
        <v>0</v>
      </c>
      <c r="AO30" s="43">
        <f>MIN(AO28,AO19*'00_입력'!$C$42)</f>
        <v>0</v>
      </c>
      <c r="AP30" s="43">
        <f>MIN(AP28,AP19*'00_입력'!$C$42)</f>
        <v>0</v>
      </c>
      <c r="AQ30" s="43">
        <f>MIN(AQ28,AQ19*'00_입력'!$C$42)</f>
        <v>0</v>
      </c>
      <c r="AR30" s="43">
        <f>MIN(AR28,AR19*'00_입력'!$C$42)</f>
        <v>0</v>
      </c>
      <c r="AS30" s="43">
        <f>MIN(AS28,AS19*'00_입력'!$C$42)</f>
        <v>0</v>
      </c>
      <c r="AT30" s="43">
        <f>MIN(AT28,AT19*'00_입력'!$C$42)</f>
        <v>0</v>
      </c>
      <c r="AU30" s="43">
        <f>MIN(AU28,AU19*'00_입력'!$C$42)</f>
        <v>0</v>
      </c>
      <c r="AV30" s="43">
        <f>MIN(AV28,AV19*'00_입력'!$C$42)</f>
        <v>0</v>
      </c>
      <c r="AW30" s="43">
        <f>MIN(AW28,AW19*'00_입력'!$C$42)</f>
        <v>0</v>
      </c>
      <c r="AX30" s="43">
        <f>MIN(AX28,AX19*'00_입력'!$C$42)</f>
        <v>0</v>
      </c>
      <c r="AY30" s="43">
        <f>MIN(AY28,AY19*'00_입력'!$C$42)</f>
        <v>0</v>
      </c>
      <c r="AZ30" s="43">
        <f>MIN(AZ28,AZ19*'00_입력'!$C$42)</f>
        <v>0</v>
      </c>
      <c r="BA30" s="43">
        <f>MIN(BA28,BA19*'00_입력'!$C$42)</f>
        <v>0</v>
      </c>
      <c r="BB30" s="43">
        <f>MIN(BB28,BB19*'00_입력'!$C$42)</f>
        <v>0</v>
      </c>
      <c r="BC30" s="43">
        <f>MIN(BC28,BC19*'00_입력'!$C$42)</f>
        <v>0</v>
      </c>
      <c r="BD30" s="43">
        <f>MIN(BD28,BD19*'00_입력'!$C$42)</f>
        <v>0</v>
      </c>
      <c r="BE30" s="43">
        <f>MIN(BE28,BE19*'00_입력'!$C$42)</f>
        <v>0</v>
      </c>
      <c r="BF30" s="43">
        <f>MIN(BF28,BF19*'00_입력'!$C$42)</f>
        <v>0</v>
      </c>
      <c r="BG30" s="43">
        <f>MIN(BG28,BG19*'00_입력'!$C$42)</f>
        <v>0</v>
      </c>
      <c r="BH30" s="43">
        <f>MIN(BH28,BH19*'00_입력'!$C$42)</f>
        <v>0</v>
      </c>
      <c r="BI30" s="43">
        <f>MIN(BI28,BI19*'00_입력'!$C$42)</f>
        <v>0</v>
      </c>
      <c r="BJ30" s="43">
        <f>MIN(BJ28,BJ19*'00_입력'!$C$42)</f>
        <v>0</v>
      </c>
      <c r="BK30" s="43">
        <f>MIN(BK28,BK19*'00_입력'!$C$42)</f>
        <v>0</v>
      </c>
      <c r="BL30" s="43">
        <f>MIN(BL28,BL19*'00_입력'!$C$42)</f>
        <v>0</v>
      </c>
      <c r="BM30" s="43">
        <f>MIN(BM28,BM19*'00_입력'!$C$42)</f>
        <v>0</v>
      </c>
      <c r="BN30" s="43">
        <f>MIN(BN28,BN19*'00_입력'!$C$42)</f>
        <v>0</v>
      </c>
      <c r="BO30" s="43">
        <f>MIN(BO28,BO19*'00_입력'!$C$42)</f>
        <v>0</v>
      </c>
      <c r="BP30" s="43">
        <f>MIN(BP28,BP19*'00_입력'!$C$42)</f>
        <v>0</v>
      </c>
      <c r="BQ30" s="43">
        <f>MIN(BQ28,BQ19*'00_입력'!$C$42)</f>
        <v>0</v>
      </c>
      <c r="BR30" s="43">
        <f>MIN(BR28,BR19*'00_입력'!$C$42)</f>
        <v>0</v>
      </c>
      <c r="BS30" s="43">
        <f>MIN(BS28,BS19*'00_입력'!$C$42)</f>
        <v>0</v>
      </c>
      <c r="BT30" s="43">
        <f>MIN(BT28,BT19*'00_입력'!$C$42)</f>
        <v>0</v>
      </c>
      <c r="BU30" s="43">
        <f>MIN(BU28,BU19*'00_입력'!$C$42)</f>
        <v>0</v>
      </c>
      <c r="BV30" s="43">
        <f>MIN(BV28,BV19*'00_입력'!$C$42)</f>
        <v>0</v>
      </c>
      <c r="BW30" s="43">
        <f>MIN(BW28,BW19*'00_입력'!$C$42)</f>
        <v>0</v>
      </c>
      <c r="BX30" s="43">
        <f>MIN(BX28,BX19*'00_입력'!$C$42)</f>
        <v>0</v>
      </c>
      <c r="BY30" s="43">
        <f>MIN(BY28,BY19*'00_입력'!$C$42)</f>
        <v>0</v>
      </c>
      <c r="BZ30" s="43">
        <f>MIN(BZ28,BZ19*'00_입력'!$C$42)</f>
        <v>0</v>
      </c>
      <c r="CA30" s="43">
        <f>MIN(CA28,CA19*'00_입력'!$C$42)</f>
        <v>0</v>
      </c>
      <c r="CB30" s="43">
        <f>MIN(CB28,CB19*'00_입력'!$C$42)</f>
        <v>0</v>
      </c>
      <c r="CC30" s="43">
        <f>MIN(CC28,CC19*'00_입력'!$C$42)</f>
        <v>0</v>
      </c>
      <c r="CD30" s="43">
        <f>MIN(CD28,CD19*'00_입력'!$C$42)</f>
        <v>0</v>
      </c>
      <c r="CE30" s="43">
        <f>MIN(CE28,CE19*'00_입력'!$C$42)</f>
        <v>0</v>
      </c>
      <c r="CF30" s="43">
        <f>MIN(CF28,CF19*'00_입력'!$C$42)</f>
        <v>0</v>
      </c>
      <c r="CG30" s="43">
        <f>MIN(CG28,CG19*'00_입력'!$C$42)</f>
        <v>0</v>
      </c>
      <c r="CH30" s="43">
        <f>MIN(CH28,CH19*'00_입력'!$C$42)</f>
        <v>0</v>
      </c>
      <c r="CI30" s="43">
        <f>MIN(CI28,CI19*'00_입력'!$C$42)</f>
        <v>0</v>
      </c>
      <c r="CJ30" s="43">
        <f>MIN(CJ28,CJ19*'00_입력'!$C$42)</f>
        <v>20796826.945816487</v>
      </c>
      <c r="CK30" s="43">
        <f>MIN(CK28,CK19*'00_입력'!$C$42)</f>
        <v>0</v>
      </c>
      <c r="CL30" s="43">
        <f>MIN(CL28,CL19*'00_입력'!$C$42)</f>
        <v>0</v>
      </c>
      <c r="CM30" s="43">
        <f>MIN(CM28,CM19*'00_입력'!$C$42)</f>
        <v>0</v>
      </c>
      <c r="CN30" s="43">
        <f>MIN(CN28,CN19*'00_입력'!$C$42)</f>
        <v>0</v>
      </c>
      <c r="CO30" s="43">
        <f>MIN(CO28,CO19*'00_입력'!$C$42)</f>
        <v>0</v>
      </c>
      <c r="CP30" s="43">
        <f>MIN(CP28,CP19*'00_입력'!$C$42)</f>
        <v>0</v>
      </c>
      <c r="CQ30" s="43">
        <f>MIN(CQ28,CQ19*'00_입력'!$C$42)</f>
        <v>0</v>
      </c>
      <c r="CR30" s="43">
        <f>MIN(CR28,CR19*'00_입력'!$C$42)</f>
        <v>0</v>
      </c>
      <c r="CS30" s="43">
        <f>MIN(CS28,CS19*'00_입력'!$C$42)</f>
        <v>0</v>
      </c>
      <c r="CT30" s="43">
        <f>MIN(CT28,CT19*'00_입력'!$C$42)</f>
        <v>0</v>
      </c>
      <c r="CU30" s="43">
        <f>MIN(CU28,CU19*'00_입력'!$C$42)</f>
        <v>0</v>
      </c>
      <c r="CV30" s="43">
        <f>MIN(CV28,CV19*'00_입력'!$C$42)</f>
        <v>0</v>
      </c>
      <c r="CW30" s="43">
        <f>MIN(CW28,CW19*'00_입력'!$C$42)</f>
        <v>10320853.419785999</v>
      </c>
      <c r="CX30" s="43">
        <f>MIN(CX28,CX19*'00_입력'!$C$42)</f>
        <v>10320853.419785999</v>
      </c>
      <c r="CY30" s="43">
        <f>MIN(CY28,CY19*'00_입력'!$C$42)</f>
        <v>10320853.419785999</v>
      </c>
      <c r="CZ30" s="43">
        <f>MIN(CZ28,CZ19*'00_입력'!$C$42)</f>
        <v>10320853.419785999</v>
      </c>
      <c r="DA30" s="43">
        <f>MIN(DA28,DA19*'00_입력'!$C$42)</f>
        <v>10320853.419785999</v>
      </c>
      <c r="DB30" s="43">
        <f>MIN(DB28,DB19*'00_입력'!$C$42)</f>
        <v>10320853.419785999</v>
      </c>
      <c r="DC30" s="43">
        <f>MIN(DC28,DC19*'00_입력'!$C$42)</f>
        <v>10320853.419785999</v>
      </c>
      <c r="DD30" s="43">
        <f>MIN(DD28,DD19*'00_입력'!$C$42)</f>
        <v>10320853.419785999</v>
      </c>
      <c r="DE30" s="43">
        <f>MIN(DE28,DE19*'00_입력'!$C$42)</f>
        <v>10320853.419785999</v>
      </c>
      <c r="DF30" s="43">
        <f>MIN(DF28,DF19*'00_입력'!$C$42)</f>
        <v>10320853.419785999</v>
      </c>
      <c r="DG30" s="43">
        <f>MIN(DG28,DG19*'00_입력'!$C$42)</f>
        <v>10320853.419785999</v>
      </c>
      <c r="DH30" s="43">
        <f>MIN(DH28,DH19*'00_입력'!$C$42)</f>
        <v>12901072.580214001</v>
      </c>
      <c r="DI30" s="43">
        <f>MIN(DI28,DI19*'00_입력'!$C$42)</f>
        <v>12901072.580214001</v>
      </c>
      <c r="DJ30" s="43">
        <f>MIN(DJ28,DJ19*'00_입력'!$C$42)</f>
        <v>12901072.580214001</v>
      </c>
      <c r="DK30" s="43">
        <f>MIN(DK28,DK19*'00_입력'!$C$43)</f>
        <v>10320853.419785999</v>
      </c>
      <c r="DL30" s="43">
        <f>MIN(DL28,DL19*'00_입력'!$C$43)</f>
        <v>10320853.419785999</v>
      </c>
      <c r="DM30" s="43">
        <f>MIN(DM28,DM19*'00_입력'!$C$43)</f>
        <v>10320853.419785999</v>
      </c>
      <c r="DN30" s="43">
        <f>MIN(DN28,DN19*'00_입력'!$C$43)</f>
        <v>15481284</v>
      </c>
      <c r="DO30" s="43">
        <f>MIN(DO28,DO19*'00_입력'!$C$43)</f>
        <v>15481284</v>
      </c>
      <c r="DP30" s="43">
        <f>MIN(DP28,DP19*'00_입력'!$C$43)</f>
        <v>15481284</v>
      </c>
      <c r="DQ30" s="43">
        <f>MIN(DQ28,DQ19*'00_입력'!$C$43)</f>
        <v>15481284</v>
      </c>
      <c r="DR30" s="43">
        <f>MIN(DR28,DR19*'00_입력'!$C$43)</f>
        <v>15481284</v>
      </c>
      <c r="DS30" s="43">
        <f>MIN(DS28,DS19*'00_입력'!$C$43)</f>
        <v>15481284</v>
      </c>
      <c r="DT30" s="43">
        <f>MIN(DT28,DT19*'00_입력'!$C$43)</f>
        <v>15481284</v>
      </c>
      <c r="DU30" s="43">
        <f>MIN(DU28,DU19*'00_입력'!$C$43)</f>
        <v>15481284</v>
      </c>
      <c r="DV30" s="43">
        <f>MIN(DV28,DV19*'00_입력'!$C$43)</f>
        <v>15481284</v>
      </c>
      <c r="DW30" s="43">
        <f>MIN(DW28,DW19*'00_입력'!$C$43)</f>
        <v>0</v>
      </c>
      <c r="DX30" s="43">
        <f>MIN(DX28,DX19*'00_입력'!$C$43)</f>
        <v>0</v>
      </c>
      <c r="DY30" s="43">
        <f>MIN(DY28,DY19*'00_입력'!$C$43)</f>
        <v>331741830.96256822</v>
      </c>
    </row>
    <row r="31" spans="1:131" ht="25.5">
      <c r="B31" s="34" t="s">
        <v>380</v>
      </c>
      <c r="D31" s="43">
        <f>MAX(0,-('00_입력'!$C$28+D19-D25-D29-D30))</f>
        <v>0</v>
      </c>
      <c r="E31" s="43">
        <f t="shared" ref="E31:AJ31" si="49">MAX(0,-(D33+E19-E25-E29-E30))</f>
        <v>0</v>
      </c>
      <c r="F31" s="43">
        <f t="shared" si="49"/>
        <v>0</v>
      </c>
      <c r="G31" s="43">
        <f t="shared" si="49"/>
        <v>0</v>
      </c>
      <c r="H31" s="43">
        <f t="shared" si="49"/>
        <v>0</v>
      </c>
      <c r="I31" s="43">
        <f t="shared" si="49"/>
        <v>0</v>
      </c>
      <c r="J31" s="43">
        <f t="shared" si="49"/>
        <v>0</v>
      </c>
      <c r="K31" s="43">
        <f t="shared" si="49"/>
        <v>0</v>
      </c>
      <c r="L31" s="43">
        <f t="shared" si="49"/>
        <v>0</v>
      </c>
      <c r="M31" s="43">
        <f t="shared" si="49"/>
        <v>0</v>
      </c>
      <c r="N31" s="43">
        <f t="shared" si="49"/>
        <v>0</v>
      </c>
      <c r="O31" s="43">
        <f t="shared" si="49"/>
        <v>0</v>
      </c>
      <c r="P31" s="43">
        <f t="shared" si="49"/>
        <v>0</v>
      </c>
      <c r="Q31" s="43">
        <f t="shared" si="49"/>
        <v>0</v>
      </c>
      <c r="R31" s="43">
        <f t="shared" si="49"/>
        <v>0</v>
      </c>
      <c r="S31" s="43">
        <f t="shared" si="49"/>
        <v>0</v>
      </c>
      <c r="T31" s="43">
        <f t="shared" si="49"/>
        <v>0</v>
      </c>
      <c r="U31" s="43">
        <f t="shared" si="49"/>
        <v>0</v>
      </c>
      <c r="V31" s="43">
        <f t="shared" si="49"/>
        <v>0</v>
      </c>
      <c r="W31" s="43">
        <f t="shared" si="49"/>
        <v>0</v>
      </c>
      <c r="X31" s="43">
        <f t="shared" si="49"/>
        <v>0</v>
      </c>
      <c r="Y31" s="43">
        <f t="shared" si="49"/>
        <v>0</v>
      </c>
      <c r="Z31" s="43">
        <f t="shared" si="49"/>
        <v>0</v>
      </c>
      <c r="AA31" s="43">
        <f t="shared" si="49"/>
        <v>0</v>
      </c>
      <c r="AB31" s="43">
        <f t="shared" si="49"/>
        <v>0</v>
      </c>
      <c r="AC31" s="43">
        <f t="shared" si="49"/>
        <v>0</v>
      </c>
      <c r="AD31" s="43">
        <f t="shared" si="49"/>
        <v>0</v>
      </c>
      <c r="AE31" s="43">
        <f t="shared" si="49"/>
        <v>0</v>
      </c>
      <c r="AF31" s="43">
        <f t="shared" si="49"/>
        <v>0</v>
      </c>
      <c r="AG31" s="43">
        <f t="shared" si="49"/>
        <v>0</v>
      </c>
      <c r="AH31" s="43">
        <f t="shared" si="49"/>
        <v>0</v>
      </c>
      <c r="AI31" s="43">
        <f t="shared" si="49"/>
        <v>0</v>
      </c>
      <c r="AJ31" s="43">
        <f t="shared" si="49"/>
        <v>0</v>
      </c>
      <c r="AK31" s="43">
        <f t="shared" ref="AK31:BP31" si="50">MAX(0,-(AJ33+AK19-AK25-AK29-AK30))</f>
        <v>0</v>
      </c>
      <c r="AL31" s="43">
        <f t="shared" si="50"/>
        <v>0</v>
      </c>
      <c r="AM31" s="43">
        <f t="shared" si="50"/>
        <v>0</v>
      </c>
      <c r="AN31" s="43">
        <f t="shared" si="50"/>
        <v>0</v>
      </c>
      <c r="AO31" s="43">
        <f t="shared" si="50"/>
        <v>0</v>
      </c>
      <c r="AP31" s="43">
        <f t="shared" si="50"/>
        <v>0</v>
      </c>
      <c r="AQ31" s="43">
        <f t="shared" si="50"/>
        <v>0</v>
      </c>
      <c r="AR31" s="43">
        <f t="shared" si="50"/>
        <v>0</v>
      </c>
      <c r="AS31" s="43">
        <f t="shared" si="50"/>
        <v>0</v>
      </c>
      <c r="AT31" s="43">
        <f t="shared" si="50"/>
        <v>0</v>
      </c>
      <c r="AU31" s="43">
        <f t="shared" si="50"/>
        <v>0</v>
      </c>
      <c r="AV31" s="43">
        <f t="shared" si="50"/>
        <v>0</v>
      </c>
      <c r="AW31" s="43">
        <f t="shared" si="50"/>
        <v>0</v>
      </c>
      <c r="AX31" s="43">
        <f t="shared" si="50"/>
        <v>0</v>
      </c>
      <c r="AY31" s="43">
        <f t="shared" si="50"/>
        <v>0</v>
      </c>
      <c r="AZ31" s="43">
        <f t="shared" si="50"/>
        <v>0</v>
      </c>
      <c r="BA31" s="43">
        <f t="shared" si="50"/>
        <v>0</v>
      </c>
      <c r="BB31" s="43">
        <f t="shared" si="50"/>
        <v>0</v>
      </c>
      <c r="BC31" s="43">
        <f t="shared" si="50"/>
        <v>0</v>
      </c>
      <c r="BD31" s="43">
        <f t="shared" si="50"/>
        <v>0</v>
      </c>
      <c r="BE31" s="43">
        <f t="shared" si="50"/>
        <v>0</v>
      </c>
      <c r="BF31" s="43">
        <f t="shared" si="50"/>
        <v>0</v>
      </c>
      <c r="BG31" s="43">
        <f t="shared" si="50"/>
        <v>0</v>
      </c>
      <c r="BH31" s="43">
        <f t="shared" si="50"/>
        <v>0</v>
      </c>
      <c r="BI31" s="43">
        <f t="shared" si="50"/>
        <v>0</v>
      </c>
      <c r="BJ31" s="43">
        <f t="shared" si="50"/>
        <v>0</v>
      </c>
      <c r="BK31" s="43">
        <f t="shared" si="50"/>
        <v>0</v>
      </c>
      <c r="BL31" s="43">
        <f t="shared" si="50"/>
        <v>0</v>
      </c>
      <c r="BM31" s="43">
        <f t="shared" si="50"/>
        <v>0</v>
      </c>
      <c r="BN31" s="43">
        <f t="shared" si="50"/>
        <v>0</v>
      </c>
      <c r="BO31" s="43">
        <f t="shared" si="50"/>
        <v>0</v>
      </c>
      <c r="BP31" s="43">
        <f t="shared" si="50"/>
        <v>0</v>
      </c>
      <c r="BQ31" s="43">
        <f t="shared" ref="BQ31:CV31" si="51">MAX(0,-(BP33+BQ19-BQ25-BQ29-BQ30))</f>
        <v>0</v>
      </c>
      <c r="BR31" s="43">
        <f t="shared" si="51"/>
        <v>0</v>
      </c>
      <c r="BS31" s="43">
        <f t="shared" si="51"/>
        <v>0</v>
      </c>
      <c r="BT31" s="43">
        <f t="shared" si="51"/>
        <v>0</v>
      </c>
      <c r="BU31" s="43">
        <f t="shared" si="51"/>
        <v>0</v>
      </c>
      <c r="BV31" s="43">
        <f t="shared" si="51"/>
        <v>0</v>
      </c>
      <c r="BW31" s="43">
        <f t="shared" si="51"/>
        <v>0</v>
      </c>
      <c r="BX31" s="43">
        <f t="shared" si="51"/>
        <v>0</v>
      </c>
      <c r="BY31" s="43">
        <f t="shared" si="51"/>
        <v>0</v>
      </c>
      <c r="BZ31" s="43">
        <f t="shared" si="51"/>
        <v>0</v>
      </c>
      <c r="CA31" s="43">
        <f t="shared" si="51"/>
        <v>0</v>
      </c>
      <c r="CB31" s="43">
        <f t="shared" si="51"/>
        <v>0</v>
      </c>
      <c r="CC31" s="43">
        <f t="shared" si="51"/>
        <v>0</v>
      </c>
      <c r="CD31" s="43">
        <f t="shared" si="51"/>
        <v>0</v>
      </c>
      <c r="CE31" s="43">
        <f t="shared" si="51"/>
        <v>2027799.4280873565</v>
      </c>
      <c r="CF31" s="43">
        <f t="shared" si="51"/>
        <v>4643564.4503900195</v>
      </c>
      <c r="CG31" s="43">
        <f t="shared" si="51"/>
        <v>4675875.91969065</v>
      </c>
      <c r="CH31" s="43">
        <f t="shared" si="51"/>
        <v>4708412.2229651641</v>
      </c>
      <c r="CI31" s="43">
        <f t="shared" si="51"/>
        <v>4741174.9246832971</v>
      </c>
      <c r="CJ31" s="43">
        <f t="shared" si="51"/>
        <v>0</v>
      </c>
      <c r="CK31" s="43">
        <f t="shared" si="51"/>
        <v>0</v>
      </c>
      <c r="CL31" s="43">
        <f t="shared" si="51"/>
        <v>0</v>
      </c>
      <c r="CM31" s="43">
        <f t="shared" si="51"/>
        <v>0</v>
      </c>
      <c r="CN31" s="43">
        <f t="shared" si="51"/>
        <v>0</v>
      </c>
      <c r="CO31" s="43">
        <f t="shared" si="51"/>
        <v>0</v>
      </c>
      <c r="CP31" s="43">
        <f t="shared" si="51"/>
        <v>0</v>
      </c>
      <c r="CQ31" s="43">
        <f t="shared" si="51"/>
        <v>0</v>
      </c>
      <c r="CR31" s="43">
        <f t="shared" si="51"/>
        <v>0</v>
      </c>
      <c r="CS31" s="43">
        <f t="shared" si="51"/>
        <v>0</v>
      </c>
      <c r="CT31" s="43">
        <f t="shared" si="51"/>
        <v>0</v>
      </c>
      <c r="CU31" s="43">
        <f t="shared" si="51"/>
        <v>0</v>
      </c>
      <c r="CV31" s="43">
        <f t="shared" si="51"/>
        <v>35626955.040553153</v>
      </c>
      <c r="CW31" s="43">
        <f t="shared" ref="CW31:EB31" si="52">MAX(0,-(CV33+CW19-CW25-CW29-CW30))</f>
        <v>47172145.597070411</v>
      </c>
      <c r="CX31" s="43">
        <f t="shared" si="52"/>
        <v>47428569.171804018</v>
      </c>
      <c r="CY31" s="43">
        <f t="shared" si="52"/>
        <v>47686777.027245142</v>
      </c>
      <c r="CZ31" s="43">
        <f t="shared" si="52"/>
        <v>47946781.579013713</v>
      </c>
      <c r="DA31" s="43">
        <f t="shared" si="52"/>
        <v>48208595.329121672</v>
      </c>
      <c r="DB31" s="43">
        <f t="shared" si="52"/>
        <v>48472230.866574131</v>
      </c>
      <c r="DC31" s="43">
        <f t="shared" si="52"/>
        <v>48737700.867974699</v>
      </c>
      <c r="DD31" s="43">
        <f t="shared" si="52"/>
        <v>49005018.098135009</v>
      </c>
      <c r="DE31" s="43">
        <f t="shared" si="52"/>
        <v>43775369.571251005</v>
      </c>
      <c r="DF31" s="43">
        <f t="shared" si="52"/>
        <v>38509331.40670076</v>
      </c>
      <c r="DG31" s="43">
        <f t="shared" si="52"/>
        <v>33206661.756978165</v>
      </c>
      <c r="DH31" s="43">
        <f t="shared" si="52"/>
        <v>33365908.83999113</v>
      </c>
      <c r="DI31" s="43">
        <f t="shared" si="52"/>
        <v>28818581.204829227</v>
      </c>
      <c r="DJ31" s="43">
        <f t="shared" si="52"/>
        <v>28929340.535675507</v>
      </c>
      <c r="DK31" s="43">
        <f t="shared" si="52"/>
        <v>23542044.727428071</v>
      </c>
      <c r="DL31" s="43">
        <f t="shared" si="52"/>
        <v>23634042.183610417</v>
      </c>
      <c r="DM31" s="43">
        <f t="shared" si="52"/>
        <v>18227853.949321173</v>
      </c>
      <c r="DN31" s="43">
        <f t="shared" si="52"/>
        <v>18282873.494672522</v>
      </c>
      <c r="DO31" s="43">
        <f t="shared" si="52"/>
        <v>18302367.888239618</v>
      </c>
      <c r="DP31" s="43">
        <f t="shared" si="52"/>
        <v>12823183.454580404</v>
      </c>
      <c r="DQ31" s="43">
        <f t="shared" si="52"/>
        <v>12804687.504951861</v>
      </c>
      <c r="DR31" s="43">
        <f t="shared" si="52"/>
        <v>12786062.854340483</v>
      </c>
      <c r="DS31" s="43">
        <f t="shared" si="52"/>
        <v>45260941.671025455</v>
      </c>
      <c r="DT31" s="43">
        <f t="shared" si="52"/>
        <v>6461055.4853116479</v>
      </c>
      <c r="DU31" s="43">
        <f t="shared" si="52"/>
        <v>6398289.7285636086</v>
      </c>
      <c r="DV31" s="43">
        <f t="shared" si="52"/>
        <v>6335087.2267581969</v>
      </c>
      <c r="DW31" s="43">
        <f t="shared" si="52"/>
        <v>6271444.9408777226</v>
      </c>
      <c r="DX31" s="43">
        <f t="shared" si="52"/>
        <v>6315083.745257996</v>
      </c>
      <c r="DY31" s="43">
        <f t="shared" si="52"/>
        <v>6359048.9304307103</v>
      </c>
      <c r="DZ31" s="43">
        <f>MAX(D31:DY31)</f>
        <v>49005018.098135009</v>
      </c>
    </row>
    <row r="32" spans="1:131">
      <c r="B32" s="29" t="s">
        <v>381</v>
      </c>
      <c r="D32" s="43">
        <f t="shared" ref="D32:AI32" si="53">D28+D31-D30</f>
        <v>0</v>
      </c>
      <c r="E32" s="43">
        <f t="shared" si="53"/>
        <v>0</v>
      </c>
      <c r="F32" s="43">
        <f t="shared" si="53"/>
        <v>0</v>
      </c>
      <c r="G32" s="43">
        <f t="shared" si="53"/>
        <v>0</v>
      </c>
      <c r="H32" s="43">
        <f t="shared" si="53"/>
        <v>0</v>
      </c>
      <c r="I32" s="43">
        <f t="shared" si="53"/>
        <v>0</v>
      </c>
      <c r="J32" s="43">
        <f t="shared" si="53"/>
        <v>0</v>
      </c>
      <c r="K32" s="43">
        <f t="shared" si="53"/>
        <v>0</v>
      </c>
      <c r="L32" s="43">
        <f t="shared" si="53"/>
        <v>0</v>
      </c>
      <c r="M32" s="43">
        <f t="shared" si="53"/>
        <v>0</v>
      </c>
      <c r="N32" s="43">
        <f t="shared" si="53"/>
        <v>0</v>
      </c>
      <c r="O32" s="43">
        <f t="shared" si="53"/>
        <v>0</v>
      </c>
      <c r="P32" s="43">
        <f t="shared" si="53"/>
        <v>0</v>
      </c>
      <c r="Q32" s="43">
        <f t="shared" si="53"/>
        <v>0</v>
      </c>
      <c r="R32" s="43">
        <f t="shared" si="53"/>
        <v>0</v>
      </c>
      <c r="S32" s="43">
        <f t="shared" si="53"/>
        <v>0</v>
      </c>
      <c r="T32" s="43">
        <f t="shared" si="53"/>
        <v>0</v>
      </c>
      <c r="U32" s="43">
        <f t="shared" si="53"/>
        <v>0</v>
      </c>
      <c r="V32" s="43">
        <f t="shared" si="53"/>
        <v>0</v>
      </c>
      <c r="W32" s="43">
        <f t="shared" si="53"/>
        <v>0</v>
      </c>
      <c r="X32" s="43">
        <f t="shared" si="53"/>
        <v>0</v>
      </c>
      <c r="Y32" s="43">
        <f t="shared" si="53"/>
        <v>0</v>
      </c>
      <c r="Z32" s="43">
        <f t="shared" si="53"/>
        <v>0</v>
      </c>
      <c r="AA32" s="43">
        <f t="shared" si="53"/>
        <v>0</v>
      </c>
      <c r="AB32" s="43">
        <f t="shared" si="53"/>
        <v>0</v>
      </c>
      <c r="AC32" s="43">
        <f t="shared" si="53"/>
        <v>0</v>
      </c>
      <c r="AD32" s="43">
        <f t="shared" si="53"/>
        <v>0</v>
      </c>
      <c r="AE32" s="43">
        <f t="shared" si="53"/>
        <v>0</v>
      </c>
      <c r="AF32" s="43">
        <f t="shared" si="53"/>
        <v>0</v>
      </c>
      <c r="AG32" s="43">
        <f t="shared" si="53"/>
        <v>0</v>
      </c>
      <c r="AH32" s="43">
        <f t="shared" si="53"/>
        <v>0</v>
      </c>
      <c r="AI32" s="43">
        <f t="shared" si="53"/>
        <v>0</v>
      </c>
      <c r="AJ32" s="43">
        <f t="shared" ref="AJ32:BO32" si="54">AJ28+AJ31-AJ30</f>
        <v>0</v>
      </c>
      <c r="AK32" s="43">
        <f t="shared" si="54"/>
        <v>0</v>
      </c>
      <c r="AL32" s="43">
        <f t="shared" si="54"/>
        <v>0</v>
      </c>
      <c r="AM32" s="43">
        <f t="shared" si="54"/>
        <v>0</v>
      </c>
      <c r="AN32" s="43">
        <f t="shared" si="54"/>
        <v>0</v>
      </c>
      <c r="AO32" s="43">
        <f t="shared" si="54"/>
        <v>0</v>
      </c>
      <c r="AP32" s="43">
        <f t="shared" si="54"/>
        <v>0</v>
      </c>
      <c r="AQ32" s="43">
        <f t="shared" si="54"/>
        <v>0</v>
      </c>
      <c r="AR32" s="43">
        <f t="shared" si="54"/>
        <v>0</v>
      </c>
      <c r="AS32" s="43">
        <f t="shared" si="54"/>
        <v>0</v>
      </c>
      <c r="AT32" s="43">
        <f t="shared" si="54"/>
        <v>0</v>
      </c>
      <c r="AU32" s="43">
        <f t="shared" si="54"/>
        <v>0</v>
      </c>
      <c r="AV32" s="43">
        <f t="shared" si="54"/>
        <v>0</v>
      </c>
      <c r="AW32" s="43">
        <f t="shared" si="54"/>
        <v>0</v>
      </c>
      <c r="AX32" s="43">
        <f t="shared" si="54"/>
        <v>0</v>
      </c>
      <c r="AY32" s="43">
        <f t="shared" si="54"/>
        <v>0</v>
      </c>
      <c r="AZ32" s="43">
        <f t="shared" si="54"/>
        <v>0</v>
      </c>
      <c r="BA32" s="43">
        <f t="shared" si="54"/>
        <v>0</v>
      </c>
      <c r="BB32" s="43">
        <f t="shared" si="54"/>
        <v>0</v>
      </c>
      <c r="BC32" s="43">
        <f t="shared" si="54"/>
        <v>0</v>
      </c>
      <c r="BD32" s="43">
        <f t="shared" si="54"/>
        <v>0</v>
      </c>
      <c r="BE32" s="43">
        <f t="shared" si="54"/>
        <v>0</v>
      </c>
      <c r="BF32" s="43">
        <f t="shared" si="54"/>
        <v>0</v>
      </c>
      <c r="BG32" s="43">
        <f t="shared" si="54"/>
        <v>0</v>
      </c>
      <c r="BH32" s="43">
        <f t="shared" si="54"/>
        <v>0</v>
      </c>
      <c r="BI32" s="43">
        <f t="shared" si="54"/>
        <v>0</v>
      </c>
      <c r="BJ32" s="43">
        <f t="shared" si="54"/>
        <v>0</v>
      </c>
      <c r="BK32" s="43">
        <f t="shared" si="54"/>
        <v>0</v>
      </c>
      <c r="BL32" s="43">
        <f t="shared" si="54"/>
        <v>0</v>
      </c>
      <c r="BM32" s="43">
        <f t="shared" si="54"/>
        <v>0</v>
      </c>
      <c r="BN32" s="43">
        <f t="shared" si="54"/>
        <v>0</v>
      </c>
      <c r="BO32" s="43">
        <f t="shared" si="54"/>
        <v>0</v>
      </c>
      <c r="BP32" s="43">
        <f t="shared" ref="BP32:CU32" si="55">BP28+BP31-BP30</f>
        <v>0</v>
      </c>
      <c r="BQ32" s="43">
        <f t="shared" si="55"/>
        <v>0</v>
      </c>
      <c r="BR32" s="43">
        <f t="shared" si="55"/>
        <v>0</v>
      </c>
      <c r="BS32" s="43">
        <f t="shared" si="55"/>
        <v>0</v>
      </c>
      <c r="BT32" s="43">
        <f t="shared" si="55"/>
        <v>0</v>
      </c>
      <c r="BU32" s="43">
        <f t="shared" si="55"/>
        <v>0</v>
      </c>
      <c r="BV32" s="43">
        <f t="shared" si="55"/>
        <v>0</v>
      </c>
      <c r="BW32" s="43">
        <f t="shared" si="55"/>
        <v>0</v>
      </c>
      <c r="BX32" s="43">
        <f t="shared" si="55"/>
        <v>0</v>
      </c>
      <c r="BY32" s="43">
        <f t="shared" si="55"/>
        <v>0</v>
      </c>
      <c r="BZ32" s="43">
        <f t="shared" si="55"/>
        <v>0</v>
      </c>
      <c r="CA32" s="43">
        <f t="shared" si="55"/>
        <v>0</v>
      </c>
      <c r="CB32" s="43">
        <f t="shared" si="55"/>
        <v>0</v>
      </c>
      <c r="CC32" s="43">
        <f t="shared" si="55"/>
        <v>0</v>
      </c>
      <c r="CD32" s="43">
        <f t="shared" si="55"/>
        <v>0</v>
      </c>
      <c r="CE32" s="43">
        <f t="shared" si="55"/>
        <v>2027799.4280873565</v>
      </c>
      <c r="CF32" s="43">
        <f t="shared" si="55"/>
        <v>6671363.878477376</v>
      </c>
      <c r="CG32" s="43">
        <f t="shared" si="55"/>
        <v>11347239.798168026</v>
      </c>
      <c r="CH32" s="43">
        <f t="shared" si="55"/>
        <v>16055652.02113319</v>
      </c>
      <c r="CI32" s="43">
        <f t="shared" si="55"/>
        <v>20796826.945816487</v>
      </c>
      <c r="CJ32" s="43">
        <f t="shared" si="55"/>
        <v>0</v>
      </c>
      <c r="CK32" s="43">
        <f t="shared" si="55"/>
        <v>0</v>
      </c>
      <c r="CL32" s="43">
        <f t="shared" si="55"/>
        <v>0</v>
      </c>
      <c r="CM32" s="43">
        <f t="shared" si="55"/>
        <v>0</v>
      </c>
      <c r="CN32" s="43">
        <f t="shared" si="55"/>
        <v>0</v>
      </c>
      <c r="CO32" s="43">
        <f t="shared" si="55"/>
        <v>0</v>
      </c>
      <c r="CP32" s="43">
        <f t="shared" si="55"/>
        <v>0</v>
      </c>
      <c r="CQ32" s="43">
        <f t="shared" si="55"/>
        <v>0</v>
      </c>
      <c r="CR32" s="43">
        <f t="shared" si="55"/>
        <v>0</v>
      </c>
      <c r="CS32" s="43">
        <f t="shared" si="55"/>
        <v>0</v>
      </c>
      <c r="CT32" s="43">
        <f t="shared" si="55"/>
        <v>0</v>
      </c>
      <c r="CU32" s="43">
        <f t="shared" si="55"/>
        <v>0</v>
      </c>
      <c r="CV32" s="43">
        <f t="shared" ref="CV32:EA32" si="56">CV28+CV31-CV30</f>
        <v>35626955.040553153</v>
      </c>
      <c r="CW32" s="43">
        <f t="shared" si="56"/>
        <v>72478247.217837572</v>
      </c>
      <c r="CX32" s="43">
        <f t="shared" si="56"/>
        <v>109585962.96985558</v>
      </c>
      <c r="CY32" s="43">
        <f t="shared" si="56"/>
        <v>146951886.5773147</v>
      </c>
      <c r="CZ32" s="43">
        <f t="shared" si="56"/>
        <v>184577814.7365424</v>
      </c>
      <c r="DA32" s="43">
        <f t="shared" si="56"/>
        <v>222465556.64587808</v>
      </c>
      <c r="DB32" s="43">
        <f t="shared" si="56"/>
        <v>260616934.09266618</v>
      </c>
      <c r="DC32" s="43">
        <f t="shared" si="56"/>
        <v>299033781.54085493</v>
      </c>
      <c r="DD32" s="43">
        <f t="shared" si="56"/>
        <v>337717946.21920395</v>
      </c>
      <c r="DE32" s="43">
        <f t="shared" si="56"/>
        <v>371172462.37066901</v>
      </c>
      <c r="DF32" s="43">
        <f t="shared" si="56"/>
        <v>399360940.35758376</v>
      </c>
      <c r="DG32" s="43">
        <f t="shared" si="56"/>
        <v>422246748.69477594</v>
      </c>
      <c r="DH32" s="43">
        <f t="shared" si="56"/>
        <v>442711584.95455307</v>
      </c>
      <c r="DI32" s="43">
        <f t="shared" si="56"/>
        <v>458629093.57916826</v>
      </c>
      <c r="DJ32" s="43">
        <f t="shared" si="56"/>
        <v>474657361.53462976</v>
      </c>
      <c r="DK32" s="43">
        <f t="shared" si="56"/>
        <v>487878552.84227186</v>
      </c>
      <c r="DL32" s="43">
        <f t="shared" si="56"/>
        <v>501191741.60609633</v>
      </c>
      <c r="DM32" s="43">
        <f t="shared" si="56"/>
        <v>509098742.1356315</v>
      </c>
      <c r="DN32" s="43">
        <f t="shared" si="56"/>
        <v>511900331.63030404</v>
      </c>
      <c r="DO32" s="43">
        <f t="shared" si="56"/>
        <v>514721415.51854366</v>
      </c>
      <c r="DP32" s="43">
        <f t="shared" si="56"/>
        <v>512063314.97312409</v>
      </c>
      <c r="DQ32" s="43">
        <f t="shared" si="56"/>
        <v>509386718.47807592</v>
      </c>
      <c r="DR32" s="43">
        <f t="shared" si="56"/>
        <v>506691497.33241642</v>
      </c>
      <c r="DS32" s="43">
        <f t="shared" si="56"/>
        <v>536471155.00344181</v>
      </c>
      <c r="DT32" s="43">
        <f t="shared" si="56"/>
        <v>527450926.48875344</v>
      </c>
      <c r="DU32" s="43">
        <f t="shared" si="56"/>
        <v>518367932.21731704</v>
      </c>
      <c r="DV32" s="43">
        <f t="shared" si="56"/>
        <v>509221735.44407523</v>
      </c>
      <c r="DW32" s="43">
        <f t="shared" si="56"/>
        <v>515493180.38495296</v>
      </c>
      <c r="DX32" s="43">
        <f t="shared" si="56"/>
        <v>521808264.13021094</v>
      </c>
      <c r="DY32" s="43">
        <f t="shared" si="56"/>
        <v>196425482.09807342</v>
      </c>
    </row>
    <row r="33" spans="2:129">
      <c r="B33" s="29" t="s">
        <v>382</v>
      </c>
      <c r="D33" s="43">
        <f>'00_입력'!$C$28+D19-D25-D29+D31-D30</f>
        <v>254928404.45680153</v>
      </c>
      <c r="E33" s="43">
        <f t="shared" ref="E33:AJ33" si="57">D33+E19-E25-E29+E31-E30</f>
        <v>252116963.91360304</v>
      </c>
      <c r="F33" s="43">
        <f t="shared" si="57"/>
        <v>249305523.37040454</v>
      </c>
      <c r="G33" s="43">
        <f t="shared" si="57"/>
        <v>246494082.82720605</v>
      </c>
      <c r="H33" s="43">
        <f t="shared" si="57"/>
        <v>243682642.28400755</v>
      </c>
      <c r="I33" s="43">
        <f t="shared" si="57"/>
        <v>240871201.74080905</v>
      </c>
      <c r="J33" s="43">
        <f t="shared" si="57"/>
        <v>238059761.19761056</v>
      </c>
      <c r="K33" s="43">
        <f t="shared" si="57"/>
        <v>235248320.65441206</v>
      </c>
      <c r="L33" s="43">
        <f t="shared" si="57"/>
        <v>232436880.11121356</v>
      </c>
      <c r="M33" s="43">
        <f t="shared" si="57"/>
        <v>229625439.56801507</v>
      </c>
      <c r="N33" s="43">
        <f t="shared" si="57"/>
        <v>226813999.02481657</v>
      </c>
      <c r="O33" s="43">
        <f t="shared" si="57"/>
        <v>224002558.48161808</v>
      </c>
      <c r="P33" s="43">
        <f t="shared" si="57"/>
        <v>221191117.93841958</v>
      </c>
      <c r="Q33" s="43">
        <f t="shared" si="57"/>
        <v>218379677.39522108</v>
      </c>
      <c r="R33" s="43">
        <f t="shared" si="57"/>
        <v>215568236.85202259</v>
      </c>
      <c r="S33" s="43">
        <f t="shared" si="57"/>
        <v>212756796.30882409</v>
      </c>
      <c r="T33" s="43">
        <f t="shared" si="57"/>
        <v>209945355.7656256</v>
      </c>
      <c r="U33" s="43">
        <f t="shared" si="57"/>
        <v>207133915.2224271</v>
      </c>
      <c r="V33" s="43">
        <f t="shared" si="57"/>
        <v>204322474.6792286</v>
      </c>
      <c r="W33" s="43">
        <f t="shared" si="57"/>
        <v>201011030.33987013</v>
      </c>
      <c r="X33" s="43">
        <f t="shared" si="57"/>
        <v>198199589.79667163</v>
      </c>
      <c r="Y33" s="43">
        <f t="shared" si="57"/>
        <v>195388149.25347313</v>
      </c>
      <c r="Z33" s="43">
        <f t="shared" si="57"/>
        <v>192576708.71027464</v>
      </c>
      <c r="AA33" s="43">
        <f t="shared" si="57"/>
        <v>189765268.16707614</v>
      </c>
      <c r="AB33" s="43">
        <f t="shared" si="57"/>
        <v>186799974.18305469</v>
      </c>
      <c r="AC33" s="43">
        <f t="shared" si="57"/>
        <v>183834680.19903323</v>
      </c>
      <c r="AD33" s="43">
        <f t="shared" si="57"/>
        <v>180869386.21501178</v>
      </c>
      <c r="AE33" s="43">
        <f t="shared" si="57"/>
        <v>177904092.23099032</v>
      </c>
      <c r="AF33" s="43">
        <f t="shared" si="57"/>
        <v>174938798.24696887</v>
      </c>
      <c r="AG33" s="43">
        <f t="shared" si="57"/>
        <v>171973504.26294741</v>
      </c>
      <c r="AH33" s="43">
        <f t="shared" si="57"/>
        <v>169008210.27892596</v>
      </c>
      <c r="AI33" s="43">
        <f t="shared" si="57"/>
        <v>166042916.2949045</v>
      </c>
      <c r="AJ33" s="43">
        <f t="shared" si="57"/>
        <v>163077622.31088305</v>
      </c>
      <c r="AK33" s="43">
        <f t="shared" ref="AK33:BP33" si="58">AJ33+AK19-AK25-AK29+AK31-AK30</f>
        <v>160112328.32686159</v>
      </c>
      <c r="AL33" s="43">
        <f t="shared" si="58"/>
        <v>157147034.34284014</v>
      </c>
      <c r="AM33" s="43">
        <f t="shared" si="58"/>
        <v>154181740.35881868</v>
      </c>
      <c r="AN33" s="43">
        <f t="shared" si="58"/>
        <v>151299787.916639</v>
      </c>
      <c r="AO33" s="43">
        <f t="shared" si="58"/>
        <v>147982536.71501148</v>
      </c>
      <c r="AP33" s="43">
        <f t="shared" si="58"/>
        <v>144665285.51338395</v>
      </c>
      <c r="AQ33" s="43">
        <f t="shared" si="58"/>
        <v>141348034.31175643</v>
      </c>
      <c r="AR33" s="43">
        <f t="shared" si="58"/>
        <v>138030783.11012891</v>
      </c>
      <c r="AS33" s="43">
        <f t="shared" si="58"/>
        <v>134713531.90850139</v>
      </c>
      <c r="AT33" s="43">
        <f t="shared" si="58"/>
        <v>131396280.70687386</v>
      </c>
      <c r="AU33" s="43">
        <f t="shared" si="58"/>
        <v>128079029.50524634</v>
      </c>
      <c r="AV33" s="43">
        <f t="shared" si="58"/>
        <v>124761778.30361882</v>
      </c>
      <c r="AW33" s="43">
        <f t="shared" si="58"/>
        <v>121444527.1019913</v>
      </c>
      <c r="AX33" s="43">
        <f t="shared" si="58"/>
        <v>118127275.90036377</v>
      </c>
      <c r="AY33" s="43">
        <f t="shared" si="58"/>
        <v>114810024.69873625</v>
      </c>
      <c r="AZ33" s="43">
        <f t="shared" si="58"/>
        <v>111492773.49710873</v>
      </c>
      <c r="BA33" s="43">
        <f t="shared" si="58"/>
        <v>108175522.2954812</v>
      </c>
      <c r="BB33" s="43">
        <f t="shared" si="58"/>
        <v>105012113.170954</v>
      </c>
      <c r="BC33" s="43">
        <f t="shared" si="58"/>
        <v>101848704.0464268</v>
      </c>
      <c r="BD33" s="43">
        <f t="shared" si="58"/>
        <v>98685294.921899602</v>
      </c>
      <c r="BE33" s="43">
        <f t="shared" si="58"/>
        <v>95521885.797372401</v>
      </c>
      <c r="BF33" s="43">
        <f t="shared" si="58"/>
        <v>92793775.432293043</v>
      </c>
      <c r="BG33" s="43">
        <f t="shared" si="58"/>
        <v>90065665.067213684</v>
      </c>
      <c r="BH33" s="43">
        <f t="shared" si="58"/>
        <v>87337554.702134326</v>
      </c>
      <c r="BI33" s="43">
        <f t="shared" si="58"/>
        <v>84609444.337054968</v>
      </c>
      <c r="BJ33" s="43">
        <f t="shared" si="58"/>
        <v>81881333.97197561</v>
      </c>
      <c r="BK33" s="43">
        <f t="shared" si="58"/>
        <v>79153223.606896251</v>
      </c>
      <c r="BL33" s="43">
        <f t="shared" si="58"/>
        <v>76425113.241816893</v>
      </c>
      <c r="BM33" s="43">
        <f t="shared" si="58"/>
        <v>73697002.876737535</v>
      </c>
      <c r="BN33" s="43">
        <f t="shared" si="58"/>
        <v>70968892.511658177</v>
      </c>
      <c r="BO33" s="43">
        <f t="shared" si="58"/>
        <v>68240782.146578819</v>
      </c>
      <c r="BP33" s="43">
        <f t="shared" si="58"/>
        <v>65512671.781499453</v>
      </c>
      <c r="BQ33" s="43">
        <f t="shared" ref="BQ33:CV33" si="59">BP33+BQ19-BQ25-BQ29+BQ31-BQ30</f>
        <v>62784561.416420087</v>
      </c>
      <c r="BR33" s="43">
        <f t="shared" si="59"/>
        <v>58155107.070383839</v>
      </c>
      <c r="BS33" s="43">
        <f t="shared" si="59"/>
        <v>53525652.724347591</v>
      </c>
      <c r="BT33" s="43">
        <f t="shared" si="59"/>
        <v>48896198.378311343</v>
      </c>
      <c r="BU33" s="43">
        <f t="shared" si="59"/>
        <v>44266744.032275096</v>
      </c>
      <c r="BV33" s="43">
        <f t="shared" si="59"/>
        <v>39637289.686238848</v>
      </c>
      <c r="BW33" s="43">
        <f t="shared" si="59"/>
        <v>35007835.3402026</v>
      </c>
      <c r="BX33" s="43">
        <f t="shared" si="59"/>
        <v>30378380.994166356</v>
      </c>
      <c r="BY33" s="43">
        <f t="shared" si="59"/>
        <v>25748926.648130111</v>
      </c>
      <c r="BZ33" s="43">
        <f t="shared" si="59"/>
        <v>21119472.302093867</v>
      </c>
      <c r="CA33" s="43">
        <f t="shared" si="59"/>
        <v>16490017.956057623</v>
      </c>
      <c r="CB33" s="43">
        <f t="shared" si="59"/>
        <v>11860563.610021379</v>
      </c>
      <c r="CC33" s="43">
        <f t="shared" si="59"/>
        <v>7231109.2639851337</v>
      </c>
      <c r="CD33" s="43">
        <f t="shared" si="59"/>
        <v>2601654.9179488886</v>
      </c>
      <c r="CE33" s="43">
        <f t="shared" si="59"/>
        <v>0</v>
      </c>
      <c r="CF33" s="43">
        <f t="shared" si="59"/>
        <v>0</v>
      </c>
      <c r="CG33" s="43">
        <f t="shared" si="59"/>
        <v>0</v>
      </c>
      <c r="CH33" s="43">
        <f t="shared" si="59"/>
        <v>0</v>
      </c>
      <c r="CI33" s="43">
        <f t="shared" si="59"/>
        <v>0</v>
      </c>
      <c r="CJ33" s="43">
        <f t="shared" si="59"/>
        <v>44124987.402933113</v>
      </c>
      <c r="CK33" s="43">
        <f t="shared" si="59"/>
        <v>103692687.16640982</v>
      </c>
      <c r="CL33" s="43">
        <f t="shared" si="59"/>
        <v>157761572.45417163</v>
      </c>
      <c r="CM33" s="43">
        <f t="shared" si="59"/>
        <v>155464560.32571992</v>
      </c>
      <c r="CN33" s="43">
        <f t="shared" si="59"/>
        <v>147668733.72155336</v>
      </c>
      <c r="CO33" s="43">
        <f t="shared" si="59"/>
        <v>134374081.27794924</v>
      </c>
      <c r="CP33" s="43">
        <f t="shared" si="59"/>
        <v>158191219.7491402</v>
      </c>
      <c r="CQ33" s="43">
        <f t="shared" si="59"/>
        <v>126748262.38089365</v>
      </c>
      <c r="CR33" s="43">
        <f t="shared" si="59"/>
        <v>95305305.012647092</v>
      </c>
      <c r="CS33" s="43">
        <f t="shared" si="59"/>
        <v>63862347.64440053</v>
      </c>
      <c r="CT33" s="43">
        <f t="shared" si="59"/>
        <v>32419390.276153974</v>
      </c>
      <c r="CU33" s="43">
        <f t="shared" si="59"/>
        <v>976432.90790741146</v>
      </c>
      <c r="CV33" s="43">
        <f t="shared" si="59"/>
        <v>0</v>
      </c>
      <c r="CW33" s="43">
        <f t="shared" ref="CW33:DY33" si="60">CV33+CW19-CW25-CW29+CW31-CW30</f>
        <v>0</v>
      </c>
      <c r="CX33" s="43">
        <f t="shared" si="60"/>
        <v>0</v>
      </c>
      <c r="CY33" s="43">
        <f t="shared" si="60"/>
        <v>0</v>
      </c>
      <c r="CZ33" s="43">
        <f t="shared" si="60"/>
        <v>0</v>
      </c>
      <c r="DA33" s="43">
        <f t="shared" si="60"/>
        <v>0</v>
      </c>
      <c r="DB33" s="43">
        <f t="shared" si="60"/>
        <v>0</v>
      </c>
      <c r="DC33" s="43">
        <f t="shared" si="60"/>
        <v>0</v>
      </c>
      <c r="DD33" s="43">
        <f t="shared" si="60"/>
        <v>0</v>
      </c>
      <c r="DE33" s="43">
        <f t="shared" si="60"/>
        <v>0</v>
      </c>
      <c r="DF33" s="43">
        <f t="shared" si="60"/>
        <v>0</v>
      </c>
      <c r="DG33" s="43">
        <f t="shared" si="60"/>
        <v>0</v>
      </c>
      <c r="DH33" s="43">
        <f t="shared" si="60"/>
        <v>0</v>
      </c>
      <c r="DI33" s="43">
        <f t="shared" si="60"/>
        <v>0</v>
      </c>
      <c r="DJ33" s="43">
        <f t="shared" si="60"/>
        <v>0</v>
      </c>
      <c r="DK33" s="43">
        <f t="shared" si="60"/>
        <v>0</v>
      </c>
      <c r="DL33" s="43">
        <f t="shared" si="60"/>
        <v>0</v>
      </c>
      <c r="DM33" s="43">
        <f t="shared" si="60"/>
        <v>0</v>
      </c>
      <c r="DN33" s="43">
        <f t="shared" si="60"/>
        <v>0</v>
      </c>
      <c r="DO33" s="43">
        <f t="shared" si="60"/>
        <v>0</v>
      </c>
      <c r="DP33" s="43">
        <f t="shared" si="60"/>
        <v>0</v>
      </c>
      <c r="DQ33" s="43">
        <f t="shared" si="60"/>
        <v>0</v>
      </c>
      <c r="DR33" s="43">
        <f t="shared" si="60"/>
        <v>0</v>
      </c>
      <c r="DS33" s="43">
        <f t="shared" si="60"/>
        <v>0</v>
      </c>
      <c r="DT33" s="43">
        <f t="shared" si="60"/>
        <v>0</v>
      </c>
      <c r="DU33" s="43">
        <f t="shared" si="60"/>
        <v>0</v>
      </c>
      <c r="DV33" s="43">
        <f t="shared" si="60"/>
        <v>0</v>
      </c>
      <c r="DW33" s="43">
        <f t="shared" si="60"/>
        <v>0</v>
      </c>
      <c r="DX33" s="43">
        <f t="shared" si="60"/>
        <v>0</v>
      </c>
      <c r="DY33" s="43">
        <f t="shared" si="60"/>
        <v>0</v>
      </c>
    </row>
    <row r="35" spans="2:129">
      <c r="B35" s="29" t="s">
        <v>383</v>
      </c>
      <c r="C35" s="48">
        <f>MAX(D32:DY32)</f>
        <v>536471155.00344181</v>
      </c>
    </row>
    <row r="36" spans="2:129">
      <c r="B36" s="29" t="s">
        <v>384</v>
      </c>
      <c r="C36" s="43">
        <f>MIN(D33:DY33)</f>
        <v>0</v>
      </c>
    </row>
    <row r="37" spans="2:129">
      <c r="B37" s="29" t="s">
        <v>385</v>
      </c>
      <c r="C37" s="52" t="str">
        <f>IF(C35&gt;('00_입력'!$C$29+'00_입력'!$C$32),"한도 초과","한도 내")</f>
        <v>한도 내</v>
      </c>
    </row>
    <row r="38" spans="2:129">
      <c r="B38" s="29" t="s">
        <v>386</v>
      </c>
      <c r="C38" s="43">
        <f>DZ29</f>
        <v>79857157.098073348</v>
      </c>
    </row>
  </sheetData>
  <phoneticPr fontId="6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2"/>
  <sheetViews>
    <sheetView workbookViewId="0">
      <selection activeCell="A9" sqref="A9"/>
    </sheetView>
  </sheetViews>
  <sheetFormatPr defaultRowHeight="16.5"/>
  <cols>
    <col min="1" max="1" width="26" customWidth="1"/>
    <col min="2" max="6" width="16" customWidth="1"/>
  </cols>
  <sheetData>
    <row r="1" spans="1:6" ht="20.25">
      <c r="A1" s="1" t="s">
        <v>387</v>
      </c>
    </row>
    <row r="3" spans="1:6">
      <c r="A3" s="15" t="s">
        <v>388</v>
      </c>
      <c r="B3" s="16">
        <f>'01_사업수지'!E77</f>
        <v>-628018325.09807348</v>
      </c>
    </row>
    <row r="5" spans="1:6">
      <c r="A5" s="2" t="s">
        <v>389</v>
      </c>
      <c r="B5" s="3"/>
      <c r="C5" s="3"/>
      <c r="D5" s="3"/>
      <c r="E5" s="3"/>
      <c r="F5" s="3"/>
    </row>
    <row r="6" spans="1:6">
      <c r="A6" t="s">
        <v>390</v>
      </c>
      <c r="B6" s="15" t="s">
        <v>391</v>
      </c>
      <c r="C6" s="15" t="s">
        <v>392</v>
      </c>
      <c r="D6" s="15" t="s">
        <v>393</v>
      </c>
      <c r="E6" s="15" t="s">
        <v>394</v>
      </c>
    </row>
    <row r="7" spans="1:6">
      <c r="A7" s="15" t="s">
        <v>395</v>
      </c>
      <c r="B7" s="9">
        <f>'01_사업수지'!$E$13*(1+0.1)-('01_사업수지'!$H$71+'01_사업수지'!$H$41*-0.1)</f>
        <v>-403643498.69807339</v>
      </c>
      <c r="C7" s="9">
        <f>'01_사업수지'!$E$13*(1+0.1)-('01_사업수지'!$H$71+'01_사업수지'!$H$41*0)</f>
        <v>-517280725.09807348</v>
      </c>
      <c r="D7" s="9">
        <f>'01_사업수지'!$E$13*(1+0.1)-('01_사업수지'!$H$71+'01_사업수지'!$H$41*0.1)</f>
        <v>-630917951.49807358</v>
      </c>
      <c r="E7" s="9">
        <f>'01_사업수지'!$E$13*(1+0.1)-('01_사업수지'!$H$71+'01_사업수지'!$H$41*0.2)</f>
        <v>-744555177.89807343</v>
      </c>
    </row>
    <row r="8" spans="1:6">
      <c r="A8" s="15" t="s">
        <v>396</v>
      </c>
      <c r="B8" s="9">
        <f>'01_사업수지'!$E$13*(1+0)-('01_사업수지'!$H$71+'01_사업수지'!$H$41*-0.1)</f>
        <v>-514381098.69807339</v>
      </c>
      <c r="C8" s="9">
        <f>'01_사업수지'!$E$13*(1+0)-('01_사업수지'!$H$71+'01_사업수지'!$H$41*0)</f>
        <v>-628018325.09807348</v>
      </c>
      <c r="D8" s="9">
        <f>'01_사업수지'!$E$13*(1+0)-('01_사업수지'!$H$71+'01_사업수지'!$H$41*0.1)</f>
        <v>-741655551.49807358</v>
      </c>
      <c r="E8" s="9">
        <f>'01_사업수지'!$E$13*(1+0)-('01_사업수지'!$H$71+'01_사업수지'!$H$41*0.2)</f>
        <v>-855292777.89807343</v>
      </c>
    </row>
    <row r="9" spans="1:6">
      <c r="A9" s="15" t="s">
        <v>397</v>
      </c>
      <c r="B9" s="9">
        <f>'01_사업수지'!$E$13*(1+-0.1)-('01_사업수지'!$H$71+'01_사업수지'!$H$41*-0.1)</f>
        <v>-625118698.69807339</v>
      </c>
      <c r="C9" s="9">
        <f>'01_사업수지'!$E$13*(1+-0.1)-('01_사업수지'!$H$71+'01_사업수지'!$H$41*0)</f>
        <v>-738755925.09807348</v>
      </c>
      <c r="D9" s="9">
        <f>'01_사업수지'!$E$13*(1+-0.1)-('01_사업수지'!$H$71+'01_사업수지'!$H$41*0.1)</f>
        <v>-852393151.49807358</v>
      </c>
      <c r="E9" s="9">
        <f>'01_사업수지'!$E$13*(1+-0.1)-('01_사업수지'!$H$71+'01_사업수지'!$H$41*0.2)</f>
        <v>-966030377.89807343</v>
      </c>
    </row>
    <row r="11" spans="1:6">
      <c r="A11" s="2" t="s">
        <v>398</v>
      </c>
      <c r="B11" s="3"/>
      <c r="C11" s="3"/>
      <c r="D11" s="3"/>
      <c r="E11" s="3"/>
      <c r="F11" s="3"/>
    </row>
    <row r="12" spans="1:6">
      <c r="A12" t="s">
        <v>399</v>
      </c>
      <c r="B12" s="17">
        <f>IFERROR('01_사업수지'!$H$71/'01_사업수지'!$E$13,0)</f>
        <v>1.5671229330399734</v>
      </c>
      <c r="C12" t="s">
        <v>400</v>
      </c>
    </row>
    <row r="13" spans="1:6">
      <c r="A13" t="s">
        <v>401</v>
      </c>
      <c r="B13" s="16">
        <f>IFERROR('01_사업수지'!$H$71/'01_사업수지'!C11,0)</f>
        <v>21170.574404651266</v>
      </c>
    </row>
    <row r="15" spans="1:6">
      <c r="A15" s="2" t="s">
        <v>402</v>
      </c>
      <c r="B15" s="3"/>
      <c r="C15" s="3"/>
      <c r="D15" s="3"/>
      <c r="E15" s="3"/>
      <c r="F15" s="3"/>
    </row>
    <row r="16" spans="1:6">
      <c r="A16" s="15" t="s">
        <v>362</v>
      </c>
      <c r="B16" s="15" t="s">
        <v>403</v>
      </c>
      <c r="C16" s="15" t="s">
        <v>404</v>
      </c>
      <c r="D16" s="15" t="s">
        <v>405</v>
      </c>
      <c r="E16" s="15" t="s">
        <v>406</v>
      </c>
    </row>
    <row r="17" spans="1:5">
      <c r="A17" t="s">
        <v>407</v>
      </c>
      <c r="B17" s="16">
        <f>'01_사업수지'!$E$13*1</f>
        <v>1107376000</v>
      </c>
      <c r="C17" s="16">
        <f>'01_사업수지'!$E$13*0.9</f>
        <v>996638400</v>
      </c>
      <c r="D17" s="16">
        <f>'01_사업수지'!$E$13*0.8</f>
        <v>885900800</v>
      </c>
      <c r="E17" s="16">
        <f>'01_사업수지'!$E$13*0.7</f>
        <v>775163200</v>
      </c>
    </row>
    <row r="18" spans="1:5">
      <c r="A18" t="s">
        <v>226</v>
      </c>
      <c r="B18" s="9">
        <f>'01_사업수지'!$E$13*1-'01_사업수지'!$H$71</f>
        <v>-628018325.09807348</v>
      </c>
      <c r="C18" s="9">
        <f>'01_사업수지'!$E$13*0.9-'01_사업수지'!$H$71</f>
        <v>-738755925.09807348</v>
      </c>
      <c r="D18" s="9">
        <f>'01_사업수지'!$E$13*0.8-'01_사업수지'!$H$71</f>
        <v>-849493525.09807348</v>
      </c>
      <c r="E18" s="9">
        <f>'01_사업수지'!$E$13*0.7-'01_사업수지'!$H$71</f>
        <v>-960231125.09807348</v>
      </c>
    </row>
    <row r="20" spans="1:5">
      <c r="A20" s="13" t="s">
        <v>408</v>
      </c>
    </row>
    <row r="21" spans="1:5">
      <c r="A21" s="13" t="s">
        <v>409</v>
      </c>
    </row>
    <row r="22" spans="1:5">
      <c r="A22" s="13" t="s">
        <v>410</v>
      </c>
    </row>
  </sheetData>
  <phoneticPr fontId="6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7"/>
  <sheetViews>
    <sheetView workbookViewId="0">
      <selection activeCell="B9" sqref="B9"/>
    </sheetView>
  </sheetViews>
  <sheetFormatPr defaultRowHeight="16.5"/>
  <cols>
    <col min="1" max="1" width="30" customWidth="1"/>
    <col min="2" max="2" width="22" customWidth="1"/>
    <col min="3" max="3" width="46" customWidth="1"/>
  </cols>
  <sheetData>
    <row r="1" spans="1:3" ht="20.25">
      <c r="A1" s="1" t="s">
        <v>411</v>
      </c>
    </row>
    <row r="3" spans="1:3">
      <c r="A3" s="4" t="s">
        <v>3</v>
      </c>
      <c r="B3" s="4" t="s">
        <v>4</v>
      </c>
      <c r="C3" s="4" t="s">
        <v>6</v>
      </c>
    </row>
    <row r="4" spans="1:3">
      <c r="A4" s="10" t="s">
        <v>8</v>
      </c>
      <c r="B4" s="7" t="s">
        <v>9</v>
      </c>
      <c r="C4" s="7"/>
    </row>
    <row r="5" spans="1:3">
      <c r="A5" s="10" t="s">
        <v>11</v>
      </c>
      <c r="B5" s="7" t="s">
        <v>12</v>
      </c>
      <c r="C5" s="7"/>
    </row>
    <row r="6" spans="1:3">
      <c r="A6" s="10" t="s">
        <v>412</v>
      </c>
      <c r="B6" s="18">
        <f>'00_입력'!$C$24</f>
        <v>126</v>
      </c>
      <c r="C6" s="7" t="s">
        <v>413</v>
      </c>
    </row>
    <row r="7" spans="1:3">
      <c r="A7" s="10" t="s">
        <v>79</v>
      </c>
      <c r="B7" s="9">
        <f>'01_사업수지'!E13</f>
        <v>1107376000</v>
      </c>
      <c r="C7" s="7"/>
    </row>
    <row r="8" spans="1:3">
      <c r="A8" s="10" t="s">
        <v>223</v>
      </c>
      <c r="B8" s="9">
        <f>'01_사업수지'!H71</f>
        <v>1735394325.0980735</v>
      </c>
      <c r="C8" s="7"/>
    </row>
    <row r="9" spans="1:3">
      <c r="A9" s="10" t="s">
        <v>226</v>
      </c>
      <c r="B9" s="9">
        <f>'01_사업수지'!E77</f>
        <v>-628018325.09807348</v>
      </c>
      <c r="C9" s="7"/>
    </row>
    <row r="10" spans="1:3">
      <c r="A10" s="10" t="s">
        <v>414</v>
      </c>
      <c r="B10" s="14">
        <f>'01_사업수지'!E78</f>
        <v>-0.5671229330399733</v>
      </c>
      <c r="C10" s="7"/>
    </row>
    <row r="11" spans="1:3">
      <c r="A11" s="10" t="s">
        <v>415</v>
      </c>
      <c r="B11" s="9">
        <f>'02_현금흐름'!C38</f>
        <v>79857157.098073348</v>
      </c>
      <c r="C11" s="7" t="s">
        <v>416</v>
      </c>
    </row>
    <row r="12" spans="1:3">
      <c r="A12" s="10" t="s">
        <v>417</v>
      </c>
      <c r="B12" s="9">
        <f>'02_현금흐름'!C35</f>
        <v>536471155.00344181</v>
      </c>
      <c r="C12" s="7" t="s">
        <v>418</v>
      </c>
    </row>
    <row r="13" spans="1:3">
      <c r="A13" s="10" t="s">
        <v>419</v>
      </c>
      <c r="B13" s="9">
        <f>'02_현금흐름'!C36</f>
        <v>0</v>
      </c>
      <c r="C13" s="7" t="s">
        <v>420</v>
      </c>
    </row>
    <row r="14" spans="1:3">
      <c r="A14" s="10" t="s">
        <v>385</v>
      </c>
      <c r="B14" s="7" t="str">
        <f>'02_현금흐름'!C37</f>
        <v>한도 내</v>
      </c>
      <c r="C14" s="7"/>
    </row>
    <row r="15" spans="1:3">
      <c r="A15" s="10" t="s">
        <v>399</v>
      </c>
      <c r="B15" s="14">
        <f>'03_민감도'!B12</f>
        <v>1.5671229330399734</v>
      </c>
      <c r="C15" s="7" t="s">
        <v>421</v>
      </c>
    </row>
    <row r="16" spans="1:3">
      <c r="A16" s="10" t="s">
        <v>422</v>
      </c>
      <c r="B16" s="14">
        <f>('00_입력'!$C$29+'00_입력'!$C$32)/'01_사업수지'!E13</f>
        <v>0.67005244831023969</v>
      </c>
      <c r="C16" s="7"/>
    </row>
    <row r="17" spans="1:3">
      <c r="A17" s="10" t="s">
        <v>423</v>
      </c>
      <c r="B17" s="14">
        <f>('00_입력'!$C$29+'00_입력'!$C$32)/'01_사업수지'!H71</f>
        <v>0.42756852968161391</v>
      </c>
      <c r="C17" s="7"/>
    </row>
  </sheetData>
  <phoneticPr fontId="6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1"/>
  <sheetViews>
    <sheetView workbookViewId="0">
      <selection activeCell="A15" sqref="A15"/>
    </sheetView>
  </sheetViews>
  <sheetFormatPr defaultRowHeight="16.5"/>
  <cols>
    <col min="1" max="1" width="34" customWidth="1"/>
    <col min="2" max="2" width="18" customWidth="1"/>
    <col min="3" max="3" width="50" customWidth="1"/>
  </cols>
  <sheetData>
    <row r="1" spans="1:3" ht="20.25">
      <c r="A1" s="1" t="s">
        <v>424</v>
      </c>
    </row>
    <row r="3" spans="1:3">
      <c r="A3" s="4" t="s">
        <v>425</v>
      </c>
      <c r="B3" s="4" t="s">
        <v>426</v>
      </c>
      <c r="C3" s="4" t="s">
        <v>427</v>
      </c>
    </row>
    <row r="4" spans="1:3">
      <c r="A4" s="7" t="s">
        <v>428</v>
      </c>
      <c r="B4" s="19" t="str">
        <f>'01_사업수지'!H72</f>
        <v>OK</v>
      </c>
      <c r="C4" s="5" t="s">
        <v>429</v>
      </c>
    </row>
    <row r="5" spans="1:3">
      <c r="A5" s="7" t="s">
        <v>430</v>
      </c>
      <c r="B5" s="19" t="str">
        <f>IF('01_사업수지'!E77&gt;0,"흑자","적자")</f>
        <v>적자</v>
      </c>
      <c r="C5" s="5" t="s">
        <v>431</v>
      </c>
    </row>
    <row r="6" spans="1:3">
      <c r="A6" s="7" t="s">
        <v>432</v>
      </c>
      <c r="B6" s="19" t="str">
        <f>IF('02_현금흐름'!C36&lt;0,"자금부족 발생","자금 충족")</f>
        <v>자금 충족</v>
      </c>
      <c r="C6" s="5" t="s">
        <v>433</v>
      </c>
    </row>
    <row r="7" spans="1:3">
      <c r="A7" s="7" t="s">
        <v>434</v>
      </c>
      <c r="B7" s="19" t="str">
        <f>'02_현금흐름'!C37</f>
        <v>한도 내</v>
      </c>
      <c r="C7" s="5" t="s">
        <v>435</v>
      </c>
    </row>
    <row r="8" spans="1:3">
      <c r="A8" s="7" t="s">
        <v>436</v>
      </c>
      <c r="B8" s="19" t="str">
        <f>IF('03_민감도'!B12&lt;1,"성립","사업 성립 불가")</f>
        <v>사업 성립 불가</v>
      </c>
      <c r="C8" s="5" t="s">
        <v>437</v>
      </c>
    </row>
    <row r="9" spans="1:3">
      <c r="A9" s="7" t="s">
        <v>438</v>
      </c>
      <c r="B9" s="19" t="str">
        <f>IF(ROUND('02_현금흐름'!DZ19,0)&gt;=ROUND('01_사업수지'!E11,0)-1,"일치","미회수 발생 — 분양률 누계 100% 미달")</f>
        <v>일치</v>
      </c>
      <c r="C9" s="5" t="s">
        <v>439</v>
      </c>
    </row>
    <row r="11" spans="1:3">
      <c r="A11" t="s">
        <v>440</v>
      </c>
    </row>
  </sheetData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00_입력</vt:lpstr>
      <vt:lpstr>01_사업수지</vt:lpstr>
      <vt:lpstr>02_현금흐름</vt:lpstr>
      <vt:lpstr>03_민감도</vt:lpstr>
      <vt:lpstr>04_요약</vt:lpstr>
      <vt:lpstr>05_검증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준수 이</cp:lastModifiedBy>
  <dcterms:created xsi:type="dcterms:W3CDTF">2026-07-29T10:15:02Z</dcterms:created>
  <dcterms:modified xsi:type="dcterms:W3CDTF">2026-07-30T01:43:42Z</dcterms:modified>
</cp:coreProperties>
</file>